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triagem'!$A$4:$AE$8</definedName>
    <definedName name="_xlnm._FilterDatabase" localSheetId="3" hidden="1">'Todos os lotes'!$A$4:$AD$24</definedName>
    <definedName name="_xlnm._FilterDatabase" localSheetId="4" hidden="1">'Comparáveis'!$A$4:$H$83</definedName>
    <definedName name="_xlnm._FilterDatabase" localSheetId="5" hidden="1">'Saíram da lista'!$A$4:$N$17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08/10/2026 07h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20</t>
        </is>
      </c>
    </row>
    <row r="18">
      <c r="A18" s="2" t="inlineStr">
        <is>
          <t>Aprovados na triagem: 4</t>
        </is>
      </c>
    </row>
    <row r="19">
      <c r="A19" s="2" t="inlineStr">
        <is>
          <t>Comparáveis de mercado: 79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559</v>
      </c>
      <c r="C14" s="8" t="inlineStr">
        <is>
          <t>Condomínio mediano do bairro (R$ 399, n=20)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</t>
        </is>
      </c>
      <c r="B21" s="9" t="n">
        <v>5913</v>
      </c>
      <c r="C21" s="8" t="inlineStr">
        <is>
          <t>Mediana de 13 anúncios de 2 dorm. entre 42 e 49 m² em Bela Vista, 23/09/2026.</t>
        </is>
      </c>
    </row>
    <row r="22">
      <c r="A22" s="6" t="inlineStr">
        <is>
          <t>Capital disponível</t>
        </is>
      </c>
      <c r="B22" s="9" t="n">
        <v>100000</v>
      </c>
      <c r="C22" s="8" t="inlineStr">
        <is>
          <t>Perfil: R$ 50.000 a R$ 100.000. Aqui no topo da faixa.</t>
        </is>
      </c>
    </row>
    <row r="23">
      <c r="A23" s="6" t="inlineStr">
        <is>
          <t>% do lance pago à vista</t>
        </is>
      </c>
      <c r="B23" s="7" t="n">
        <v>1</v>
      </c>
      <c r="C23" s="8" t="inlineStr">
        <is>
          <t>100% = sem financiamento. Nenhum lote de Palhoça aceita financiamento.</t>
        </is>
      </c>
    </row>
    <row r="25">
      <c r="A25" s="5" t="inlineStr">
        <is>
          <t>Legenda</t>
        </is>
      </c>
    </row>
    <row r="26">
      <c r="A26" s="12" t="inlineStr">
        <is>
          <t>azul sobre amarelo = você edita</t>
        </is>
      </c>
    </row>
    <row r="27">
      <c r="A27" s="6" t="inlineStr">
        <is>
          <t>preto = fórmula, não mexa</t>
        </is>
      </c>
    </row>
    <row r="28">
      <c r="A28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878770561220-5</t>
        </is>
      </c>
      <c r="B5" s="16" t="inlineStr">
        <is>
          <t>BELA VISTA</t>
        </is>
      </c>
      <c r="C5" s="16" t="inlineStr">
        <is>
          <t>RUA SEBASTIAO ALZEMIRO DOS SANTOS,N. 387 APTO. 104 BL 10 VG182, BELA VISTA - CEP: 88137-640, PALHOCA - SANTA CATARINA</t>
        </is>
      </c>
      <c r="D5" s="17" t="n">
        <v>43.8</v>
      </c>
      <c r="E5" s="18" t="n">
        <v>252000</v>
      </c>
      <c r="F5" s="9" t="n">
        <v>151200</v>
      </c>
      <c r="G5" s="18">
        <f>D5*Premissas!$B$21*Premissas!$B$18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IFERROR((Premissas!$B$22-(K5+L5+M5+N5))/(Premissas!$B$23+(Premissas!$B$5+Premissas!$B$6+Premissas!$B$7)),0)</f>
        <v/>
      </c>
      <c r="U5" s="18">
        <f>Premissas!$B$22-O5</f>
        <v/>
      </c>
      <c r="V5" s="20">
        <f>IF(U5&lt;0,"Fora de alcance: falta caixa",IF(R5&lt;Premissas!$B$19,"Reprova: margem abaixo do mínimo","Persegue"))</f>
        <v/>
      </c>
      <c r="W5" s="16" t="inlineStr">
        <is>
          <t>Ocupado</t>
        </is>
      </c>
      <c r="X5" s="16" t="inlineStr">
        <is>
          <t>Leilão SFI</t>
        </is>
      </c>
      <c r="Y5" s="16" t="inlineStr">
        <is>
          <t>102870</t>
        </is>
      </c>
      <c r="Z5" s="16" t="inlineStr">
        <is>
          <t>05/10/2026</t>
        </is>
      </c>
      <c r="AA5" s="16" t="inlineStr">
        <is>
          <t>09/10/2026</t>
        </is>
      </c>
      <c r="AB5" s="16" t="inlineStr">
        <is>
          <t>0046/0226 -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https://venda-imoveis.caixa.gov.br/sistema/detalhe-imovel.asp?hdnimovel=08787705612205</t>
        </is>
      </c>
    </row>
    <row r="6">
      <c r="A6" s="16" t="inlineStr">
        <is>
          <t>878770638651-9</t>
        </is>
      </c>
      <c r="B6" s="16" t="inlineStr">
        <is>
          <t>BELA VISTA</t>
        </is>
      </c>
      <c r="C6" s="16" t="inlineStr">
        <is>
          <t>RUA SEBASTIAO ALZEMIRO DOS SANTOS,N. 387 APTO. 401 BL 11, BELA VISTA - CEP: 88137-640, PALHOCA - SANTA CATARINA</t>
        </is>
      </c>
      <c r="D6" s="17" t="n">
        <v>43.8</v>
      </c>
      <c r="E6" s="18" t="n">
        <v>252000</v>
      </c>
      <c r="F6" s="9" t="n">
        <v>151200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IFERROR((Premissas!$B$22-(K6+L6+M6+N6))/(Premissas!$B$23+(Premissas!$B$5+Premissas!$B$6+Premissas!$B$7)),0)</f>
        <v/>
      </c>
      <c r="U6" s="18">
        <f>Premissas!$B$22-O6</f>
        <v/>
      </c>
      <c r="V6" s="20">
        <f>IF(U6&lt;0,"Fora de alcance: falta caixa",IF(R6&lt;Premissas!$B$19,"Reprova: margem abaixo do mínimo","Persegue"))</f>
        <v/>
      </c>
      <c r="W6" s="16" t="inlineStr">
        <is>
          <t>Ocupado</t>
        </is>
      </c>
      <c r="X6" s="16" t="inlineStr">
        <is>
          <t>Leilão SFI</t>
        </is>
      </c>
      <c r="Y6" s="16" t="inlineStr">
        <is>
          <t>103332</t>
        </is>
      </c>
      <c r="Z6" s="16" t="inlineStr">
        <is>
          <t>30/11/2026</t>
        </is>
      </c>
      <c r="AA6" s="16" t="inlineStr">
        <is>
          <t>04/12/2026</t>
        </is>
      </c>
      <c r="AB6" s="16" t="inlineStr">
        <is>
          <t>0052/0226 -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https://venda-imoveis.caixa.gov.br/sistema/detalhe-imovel.asp?hdnimovel=08787706386519</t>
        </is>
      </c>
    </row>
    <row r="7">
      <c r="A7" s="16" t="inlineStr">
        <is>
          <t>878771176139-0</t>
        </is>
      </c>
      <c r="B7" s="16" t="inlineStr">
        <is>
          <t>BELA VISTA</t>
        </is>
      </c>
      <c r="C7" s="16" t="inlineStr">
        <is>
          <t>AVENIDA PAULO ROBERTO VIDAL,N. 475 APTO. 611 BL A, BELA VISTA - CEP: 88132-599, PALHOCA - SANTA CATARINA</t>
        </is>
      </c>
      <c r="D7" s="17" t="n">
        <v>48.49</v>
      </c>
      <c r="E7" s="18" t="n">
        <v>255000</v>
      </c>
      <c r="F7" s="9" t="n">
        <v>153000</v>
      </c>
      <c r="G7" s="18">
        <f>D7*Premissas!$B$21*Premissas!$B$18</f>
        <v/>
      </c>
      <c r="H7" s="18">
        <f>F7*Premissas!$B$5</f>
        <v/>
      </c>
      <c r="I7" s="18">
        <f>F7*Premissas!$B$6</f>
        <v/>
      </c>
      <c r="J7" s="18">
        <f>F7*Premissas!$B$7</f>
        <v/>
      </c>
      <c r="K7" s="18">
        <f>Premissas!$B$9+Premissas!$B$10+Premissas!$B$11</f>
        <v/>
      </c>
      <c r="L7" s="18">
        <f>Premissas!$B$12</f>
        <v/>
      </c>
      <c r="M7" s="18">
        <f>D7*Premissas!$B$13</f>
        <v/>
      </c>
      <c r="N7" s="18">
        <f>Premissas!$B$14*Premissas!$B$15</f>
        <v/>
      </c>
      <c r="O7" s="18">
        <f>F7+H7+I7+J7+K7+L7+M7+N7</f>
        <v/>
      </c>
      <c r="P7" s="18">
        <f>G7*(1-Premissas!$B$17)</f>
        <v/>
      </c>
      <c r="Q7" s="18">
        <f>P7-O7</f>
        <v/>
      </c>
      <c r="R7" s="19">
        <f>IFERROR(Q7/O7,0)</f>
        <v/>
      </c>
      <c r="S7" s="18">
        <f>(P7/(1+Premissas!$B$19)-(K7+L7+M7+N7))/(1+(Premissas!$B$5+Premissas!$B$6+Premissas!$B$7))</f>
        <v/>
      </c>
      <c r="T7" s="18">
        <f>IFERROR((Premissas!$B$22-(K7+L7+M7+N7))/(Premissas!$B$23+(Premissas!$B$5+Premissas!$B$6+Premissas!$B$7)),0)</f>
        <v/>
      </c>
      <c r="U7" s="18">
        <f>Premissas!$B$22-O7</f>
        <v/>
      </c>
      <c r="V7" s="20">
        <f>IF(U7&lt;0,"Fora de alcance: falta caixa",IF(R7&lt;Premissas!$B$19,"Reprova: margem abaixo do mínimo","Persegue"))</f>
        <v/>
      </c>
      <c r="W7" s="16" t="inlineStr">
        <is>
          <t>Ocupado</t>
        </is>
      </c>
      <c r="X7" s="16" t="inlineStr">
        <is>
          <t>Leilão SFI</t>
        </is>
      </c>
      <c r="Y7" s="16" t="inlineStr">
        <is>
          <t>109903</t>
        </is>
      </c>
      <c r="Z7" s="16" t="inlineStr">
        <is>
          <t>30/11/2026</t>
        </is>
      </c>
      <c r="AA7" s="16" t="inlineStr">
        <is>
          <t>04/12/2026</t>
        </is>
      </c>
      <c r="AB7" s="16" t="inlineStr">
        <is>
          <t>0052/0226 - CPA/RE</t>
        </is>
      </c>
      <c r="AC7" s="16" t="inlineStr">
        <is>
          <t>SIM</t>
        </is>
      </c>
      <c r="AD7" s="16" t="inlineStr">
        <is>
          <t>NAO</t>
        </is>
      </c>
      <c r="AE7" s="16" t="inlineStr">
        <is>
          <t>https://venda-imoveis.caixa.gov.br/sistema/detalhe-imovel.asp?hdnimovel=08787711761390</t>
        </is>
      </c>
    </row>
    <row r="8">
      <c r="A8" s="16" t="inlineStr">
        <is>
          <t>878771588251-5</t>
        </is>
      </c>
      <c r="B8" s="16" t="inlineStr">
        <is>
          <t>BELA VISTA</t>
        </is>
      </c>
      <c r="C8" s="16" t="inlineStr">
        <is>
          <t>AVENIDA PAULO ROBERTO VIDAL,N. 2050 APTO. 102 BL 11, BELA VISTA - CEP: 88132-599, PALHOCA - SANTA CATARINA</t>
        </is>
      </c>
      <c r="D8" s="17" t="n">
        <v>43.8</v>
      </c>
      <c r="E8" s="18" t="n">
        <v>258000</v>
      </c>
      <c r="F8" s="9" t="n">
        <v>168932.94</v>
      </c>
      <c r="G8" s="18">
        <f>D8*Premissas!$B$21*Premissas!$B$18</f>
        <v/>
      </c>
      <c r="H8" s="18">
        <f>F8*Premissas!$B$5</f>
        <v/>
      </c>
      <c r="I8" s="18">
        <f>F8*Premissas!$B$6</f>
        <v/>
      </c>
      <c r="J8" s="18">
        <f>F8*Premissas!$B$7</f>
        <v/>
      </c>
      <c r="K8" s="18">
        <f>Premissas!$B$9+Premissas!$B$10+Premissas!$B$11</f>
        <v/>
      </c>
      <c r="L8" s="18">
        <f>Premissas!$B$12</f>
        <v/>
      </c>
      <c r="M8" s="18">
        <f>D8*Premissas!$B$13</f>
        <v/>
      </c>
      <c r="N8" s="18">
        <f>Premissas!$B$14*Premissas!$B$15</f>
        <v/>
      </c>
      <c r="O8" s="18">
        <f>F8+H8+I8+J8+K8+L8+M8+N8</f>
        <v/>
      </c>
      <c r="P8" s="18">
        <f>G8*(1-Premissas!$B$17)</f>
        <v/>
      </c>
      <c r="Q8" s="18">
        <f>P8-O8</f>
        <v/>
      </c>
      <c r="R8" s="19">
        <f>IFERROR(Q8/O8,0)</f>
        <v/>
      </c>
      <c r="S8" s="18">
        <f>(P8/(1+Premissas!$B$19)-(K8+L8+M8+N8))/(1+(Premissas!$B$5+Premissas!$B$6+Premissas!$B$7))</f>
        <v/>
      </c>
      <c r="T8" s="18">
        <f>IFERROR((Premissas!$B$22-(K8+L8+M8+N8))/(Premissas!$B$23+(Premissas!$B$5+Premissas!$B$6+Premissas!$B$7)),0)</f>
        <v/>
      </c>
      <c r="U8" s="18">
        <f>Premissas!$B$22-O8</f>
        <v/>
      </c>
      <c r="V8" s="20">
        <f>IF(U8&lt;0,"Fora de alcance: falta caixa",IF(R8&lt;Premissas!$B$19,"Reprova: margem abaixo do mínimo","Persegue"))</f>
        <v/>
      </c>
      <c r="W8" s="16" t="inlineStr">
        <is>
          <t>Ocupado</t>
        </is>
      </c>
      <c r="X8" s="16" t="inlineStr">
        <is>
          <t>Leilão SFI</t>
        </is>
      </c>
      <c r="Y8" s="16" t="inlineStr">
        <is>
          <t>116295</t>
        </is>
      </c>
      <c r="Z8" s="16" t="inlineStr">
        <is>
          <t>14/10/2026</t>
        </is>
      </c>
      <c r="AA8" s="16" t="inlineStr">
        <is>
          <t>20/10/2026</t>
        </is>
      </c>
      <c r="AB8" s="16" t="inlineStr">
        <is>
          <t>0048/0226 - CPA/RE</t>
        </is>
      </c>
      <c r="AC8" s="16" t="inlineStr">
        <is>
          <t>SIM</t>
        </is>
      </c>
      <c r="AD8" s="16" t="inlineStr">
        <is>
          <t>NAO</t>
        </is>
      </c>
      <c r="AE8" s="16" t="inlineStr">
        <is>
          <t>https://venda-imoveis.caixa.gov.br/sistema/detalhe-imovel.asp?hdnimovel=08787715882515</t>
        </is>
      </c>
    </row>
  </sheetData>
  <autoFilter ref="A4:AE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20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144441088173-5</t>
        </is>
      </c>
      <c r="B5" s="16" t="inlineStr">
        <is>
          <t>DESCARTADO</t>
        </is>
      </c>
      <c r="C5" s="16" t="inlineStr">
        <is>
          <t>fora_do_bairro</t>
        </is>
      </c>
      <c r="D5" s="16" t="inlineStr">
        <is>
          <t>PALHOCA</t>
        </is>
      </c>
      <c r="E5" s="16" t="inlineStr">
        <is>
          <t>PAGANI</t>
        </is>
      </c>
      <c r="F5" s="16" t="inlineStr">
        <is>
          <t>RUA NAJLA CARONE GUEDERT,N. 27 APTO. 102 TIPO E, VG 111, PAGANI - CEP: 88132-150, PALHOCA - SANTA CATARINA</t>
        </is>
      </c>
      <c r="G5" s="16" t="inlineStr">
        <is>
          <t>Apartamento</t>
        </is>
      </c>
      <c r="H5" s="16" t="inlineStr">
        <is>
          <t>2</t>
        </is>
      </c>
      <c r="I5" s="16" t="inlineStr">
        <is>
          <t>1</t>
        </is>
      </c>
      <c r="J5" s="17" t="n">
        <v>107.12</v>
      </c>
      <c r="K5" s="17" t="n">
        <v>64.3</v>
      </c>
      <c r="L5" s="18" t="n">
        <v>550500</v>
      </c>
      <c r="M5" s="18" t="n">
        <v>550500</v>
      </c>
      <c r="N5" s="18" t="n">
        <v>330300</v>
      </c>
      <c r="O5" s="19" t="n">
        <v>0.4</v>
      </c>
      <c r="P5" s="16" t="inlineStr">
        <is>
          <t>Ocupado</t>
        </is>
      </c>
      <c r="Q5" s="16" t="inlineStr">
        <is>
          <t>Leilão SFI</t>
        </is>
      </c>
      <c r="R5" s="16" t="inlineStr">
        <is>
          <t>83217, 83122</t>
        </is>
      </c>
      <c r="S5" s="16" t="inlineStr">
        <is>
          <t>PALHOCA-SC</t>
        </is>
      </c>
      <c r="T5" s="16" t="inlineStr">
        <is>
          <t>05/10/2026 / 09/10/2026</t>
        </is>
      </c>
      <c r="U5" s="16" t="inlineStr">
        <is>
          <t>Andressa Sedrez Terres Tonial Ferreira</t>
        </is>
      </c>
      <c r="V5" s="16" t="inlineStr">
        <is>
          <t>www.tonialleiloes.com.br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https://venda-imoveis.caixa.gov.br/editais/EL00460226CPARE.PDF</t>
        </is>
      </c>
      <c r="AC5" s="16" t="inlineStr">
        <is>
          <t>https://venda-imoveis.caixa.gov.br/editais/matricula/SC/1444410881735.pdf</t>
        </is>
      </c>
      <c r="AD5" s="16" t="inlineStr">
        <is>
          <t>https://venda-imoveis.caixa.gov.br/sistema/detalhe-imovel.asp?hdnimovel=01444410881735</t>
        </is>
      </c>
    </row>
    <row r="6">
      <c r="A6" s="16" t="inlineStr">
        <is>
          <t>878770561220-5</t>
        </is>
      </c>
      <c r="B6" s="16" t="inlineStr">
        <is>
          <t>TRIAGEM</t>
        </is>
      </c>
      <c r="C6" s="16" t="inlineStr"/>
      <c r="D6" s="16" t="inlineStr">
        <is>
          <t>PALHOCA</t>
        </is>
      </c>
      <c r="E6" s="16" t="inlineStr">
        <is>
          <t>BELA VISTA</t>
        </is>
      </c>
      <c r="F6" s="16" t="inlineStr">
        <is>
          <t>RUA SEBASTIAO ALZEMIRO DOS SANTOS,N. 387 APTO. 104 BL 10 VG182, BELA VISTA - CEP: 88137-640, PALHOCA - SANTA CATARINA</t>
        </is>
      </c>
      <c r="G6" s="16" t="inlineStr">
        <is>
          <t>Apartamento</t>
        </is>
      </c>
      <c r="H6" s="16" t="inlineStr">
        <is>
          <t>2</t>
        </is>
      </c>
      <c r="I6" s="16" t="inlineStr">
        <is>
          <t>1</t>
        </is>
      </c>
      <c r="J6" s="17" t="n">
        <v>80.51000000000001</v>
      </c>
      <c r="K6" s="17" t="n">
        <v>43.8</v>
      </c>
      <c r="L6" s="18" t="n">
        <v>252000</v>
      </c>
      <c r="M6" s="18" t="n">
        <v>252000</v>
      </c>
      <c r="N6" s="18" t="n">
        <v>151200</v>
      </c>
      <c r="O6" s="19" t="n">
        <v>0.4</v>
      </c>
      <c r="P6" s="16" t="inlineStr">
        <is>
          <t>Ocupado</t>
        </is>
      </c>
      <c r="Q6" s="16" t="inlineStr">
        <is>
          <t>Leilão SFI</t>
        </is>
      </c>
      <c r="R6" s="16" t="inlineStr">
        <is>
          <t>102870</t>
        </is>
      </c>
      <c r="S6" s="16" t="inlineStr">
        <is>
          <t>PALHOCA-SC</t>
        </is>
      </c>
      <c r="T6" s="16" t="inlineStr">
        <is>
          <t>05/10/2026 / 09/10/2026</t>
        </is>
      </c>
      <c r="U6" s="16" t="inlineStr">
        <is>
          <t>Andressa Sedrez Terres Tonial Ferreira</t>
        </is>
      </c>
      <c r="V6" s="16" t="inlineStr">
        <is>
          <t>www.tonialleiloes.com.br</t>
        </is>
      </c>
      <c r="W6" s="16" t="inlineStr">
        <is>
          <t>Recursos próprios. Permite utilização de FGTS. Consulte condições e enquadramento.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SIM</t>
        </is>
      </c>
      <c r="AA6" s="16" t="inlineStr">
        <is>
          <t>NAO</t>
        </is>
      </c>
      <c r="AB6" s="16" t="inlineStr">
        <is>
          <t>https://venda-imoveis.caixa.gov.br/editais/EL00460226CPARE.PDF</t>
        </is>
      </c>
      <c r="AC6" s="16" t="inlineStr">
        <is>
          <t>https://venda-imoveis.caixa.gov.br/editais/matricula/SC/8787705612205.pdf</t>
        </is>
      </c>
      <c r="AD6" s="16" t="inlineStr">
        <is>
          <t>https://venda-imoveis.caixa.gov.br/sistema/detalhe-imovel.asp?hdnimovel=08787705612205</t>
        </is>
      </c>
    </row>
    <row r="7">
      <c r="A7" s="16" t="inlineStr">
        <is>
          <t>878770638651-9</t>
        </is>
      </c>
      <c r="B7" s="16" t="inlineStr">
        <is>
          <t>TRIAGEM</t>
        </is>
      </c>
      <c r="C7" s="16" t="inlineStr"/>
      <c r="D7" s="16" t="inlineStr">
        <is>
          <t>PALHOCA</t>
        </is>
      </c>
      <c r="E7" s="16" t="inlineStr">
        <is>
          <t>BELA VISTA</t>
        </is>
      </c>
      <c r="F7" s="16" t="inlineStr">
        <is>
          <t>RUA SEBASTIAO ALZEMIRO DOS SANTOS,N. 387 APTO. 401 BL 11, BELA VISTA - CEP: 88137-640,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80.51000000000001</v>
      </c>
      <c r="K7" s="17" t="n">
        <v>43.8</v>
      </c>
      <c r="L7" s="18" t="n">
        <v>252000</v>
      </c>
      <c r="M7" s="18" t="n">
        <v>252000</v>
      </c>
      <c r="N7" s="18" t="n">
        <v>151200</v>
      </c>
      <c r="O7" s="19" t="n">
        <v>0.4</v>
      </c>
      <c r="P7" s="16" t="inlineStr">
        <is>
          <t>Ocupado</t>
        </is>
      </c>
      <c r="Q7" s="16" t="inlineStr">
        <is>
          <t>Leilão SFI</t>
        </is>
      </c>
      <c r="R7" s="16" t="inlineStr">
        <is>
          <t>103332</t>
        </is>
      </c>
      <c r="S7" s="16" t="inlineStr">
        <is>
          <t>PALHOCA-SC</t>
        </is>
      </c>
      <c r="T7" s="16" t="inlineStr">
        <is>
          <t>30/11/2026 / 04/12/2026</t>
        </is>
      </c>
      <c r="U7" s="16" t="inlineStr">
        <is>
          <t>JONAS GABRIEL ANTUNES MOREIRA</t>
        </is>
      </c>
      <c r="V7" s="16" t="inlineStr">
        <is>
          <t>www.mgl.com.br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https://venda-imoveis.caixa.gov.br/editais/EL00520226CPARE.PDF</t>
        </is>
      </c>
      <c r="AC7" s="16" t="inlineStr">
        <is>
          <t>https://venda-imoveis.caixa.gov.br/editais/matricula/SC/8787706386519.pdf</t>
        </is>
      </c>
      <c r="AD7" s="16" t="inlineStr">
        <is>
          <t>https://venda-imoveis.caixa.gov.br/sistema/detalhe-imovel.asp?hdnimovel=08787706386519</t>
        </is>
      </c>
    </row>
    <row r="8">
      <c r="A8" s="16" t="inlineStr">
        <is>
          <t>878771159497-3</t>
        </is>
      </c>
      <c r="B8" s="16" t="inlineStr">
        <is>
          <t>DESCARTADO</t>
        </is>
      </c>
      <c r="C8" s="16" t="inlineStr">
        <is>
          <t>fora_do_bairro</t>
        </is>
      </c>
      <c r="D8" s="16" t="inlineStr">
        <is>
          <t>PALHOCA</t>
        </is>
      </c>
      <c r="E8" s="16" t="inlineStr">
        <is>
          <t>PRAIA DE FORA</t>
        </is>
      </c>
      <c r="F8" s="16" t="inlineStr">
        <is>
          <t>AVENIDA ARCANJO CANDIDO DA SILVA,N. 702 APTO. 206 PAV 02 BL 02, PRAIA DE FORA - CEP: 88138-300,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64.12</v>
      </c>
      <c r="K8" s="17" t="n">
        <v>49.07</v>
      </c>
      <c r="L8" s="18" t="n">
        <v>280000</v>
      </c>
      <c r="M8" s="18" t="n">
        <v>280000</v>
      </c>
      <c r="N8" s="18" t="n">
        <v>168000</v>
      </c>
      <c r="O8" s="19" t="n">
        <v>0.4</v>
      </c>
      <c r="P8" s="16" t="inlineStr">
        <is>
          <t>Ocupado</t>
        </is>
      </c>
      <c r="Q8" s="16" t="inlineStr">
        <is>
          <t>Leilão SFI</t>
        </is>
      </c>
      <c r="R8" s="16" t="inlineStr">
        <is>
          <t>91884</t>
        </is>
      </c>
      <c r="S8" s="16" t="inlineStr">
        <is>
          <t>PALHOCA-SC</t>
        </is>
      </c>
      <c r="T8" s="16" t="inlineStr">
        <is>
          <t>24/11/2026 / 30/11/2026</t>
        </is>
      </c>
      <c r="U8" s="16" t="inlineStr">
        <is>
          <t>TATIANA PAULA ZANI DE SOUSA</t>
        </is>
      </c>
      <c r="V8" s="16" t="inlineStr">
        <is>
          <t>www.liderleiloes.com.br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https://venda-imoveis.caixa.gov.br/editais/EL00510226CPARE.PDF</t>
        </is>
      </c>
      <c r="AC8" s="16" t="inlineStr">
        <is>
          <t>https://venda-imoveis.caixa.gov.br/editais/matricula/SC/8787711594973.pdf</t>
        </is>
      </c>
      <c r="AD8" s="16" t="inlineStr">
        <is>
          <t>https://venda-imoveis.caixa.gov.br/sistema/detalhe-imovel.asp?hdnimovel=08787711594973</t>
        </is>
      </c>
    </row>
    <row r="9">
      <c r="A9" s="16" t="inlineStr">
        <is>
          <t>878771176139-0</t>
        </is>
      </c>
      <c r="B9" s="16" t="inlineStr">
        <is>
          <t>TRIAGEM</t>
        </is>
      </c>
      <c r="C9" s="16" t="inlineStr"/>
      <c r="D9" s="16" t="inlineStr">
        <is>
          <t>PALHOCA</t>
        </is>
      </c>
      <c r="E9" s="16" t="inlineStr">
        <is>
          <t>BELA VISTA</t>
        </is>
      </c>
      <c r="F9" s="16" t="inlineStr">
        <is>
          <t>AVENIDA PAULO ROBERTO VIDAL,N. 475 APTO. 611 BL A, BELA VISTA - CEP: 88132-599, PALHOCA - SANTA CATARINA</t>
        </is>
      </c>
      <c r="G9" s="16" t="inlineStr">
        <is>
          <t>Apartamento</t>
        </is>
      </c>
      <c r="H9" s="16" t="inlineStr">
        <is>
          <t>2</t>
        </is>
      </c>
      <c r="I9" s="16" t="inlineStr">
        <is>
          <t>1</t>
        </is>
      </c>
      <c r="J9" s="17" t="n">
        <v>74.70999999999999</v>
      </c>
      <c r="K9" s="17" t="n">
        <v>48.49</v>
      </c>
      <c r="L9" s="18" t="n">
        <v>255000</v>
      </c>
      <c r="M9" s="18" t="n">
        <v>255000</v>
      </c>
      <c r="N9" s="18" t="n">
        <v>153000</v>
      </c>
      <c r="O9" s="19" t="n">
        <v>0.4</v>
      </c>
      <c r="P9" s="16" t="inlineStr">
        <is>
          <t>Ocupado</t>
        </is>
      </c>
      <c r="Q9" s="16" t="inlineStr">
        <is>
          <t>Leilão SFI</t>
        </is>
      </c>
      <c r="R9" s="16" t="inlineStr">
        <is>
          <t>109903</t>
        </is>
      </c>
      <c r="S9" s="16" t="inlineStr">
        <is>
          <t>PALHOCA-SC</t>
        </is>
      </c>
      <c r="T9" s="16" t="inlineStr">
        <is>
          <t>30/11/2026 / 04/12/2026</t>
        </is>
      </c>
      <c r="U9" s="16" t="inlineStr">
        <is>
          <t>JONAS GABRIEL ANTUNES MOREIRA</t>
        </is>
      </c>
      <c r="V9" s="16" t="inlineStr">
        <is>
          <t>www.mgl.com.br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https://venda-imoveis.caixa.gov.br/editais/EL00520226CPARE.PDF</t>
        </is>
      </c>
      <c r="AC9" s="16" t="inlineStr">
        <is>
          <t>https://venda-imoveis.caixa.gov.br/editais/matricula/SC/8787711761390.pdf</t>
        </is>
      </c>
      <c r="AD9" s="16" t="inlineStr">
        <is>
          <t>https://venda-imoveis.caixa.gov.br/sistema/detalhe-imovel.asp?hdnimovel=08787711761390</t>
        </is>
      </c>
    </row>
    <row r="10">
      <c r="A10" s="16" t="inlineStr">
        <is>
          <t>878771537674-1</t>
        </is>
      </c>
      <c r="B10" s="16" t="inlineStr">
        <is>
          <t>DESCARTADO</t>
        </is>
      </c>
      <c r="C10" s="16" t="inlineStr">
        <is>
          <t>fora_do_bairro</t>
        </is>
      </c>
      <c r="D10" s="16" t="inlineStr">
        <is>
          <t>PALHOCA</t>
        </is>
      </c>
      <c r="E10" s="16" t="inlineStr">
        <is>
          <t>SAO SEBASTIAO</t>
        </is>
      </c>
      <c r="F10" s="16" t="inlineStr">
        <is>
          <t>RUA RAULINO MARTINHO DIAS,N. 29 APTO. AP 304 BL 06, SAO SEBASTIAO - CEP: 88136-351, PALHOCA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75.45</v>
      </c>
      <c r="K10" s="17" t="n">
        <v>52.85</v>
      </c>
      <c r="L10" s="18" t="n">
        <v>310000</v>
      </c>
      <c r="M10" s="18" t="n">
        <v>310000</v>
      </c>
      <c r="N10" s="18" t="n">
        <v>186000</v>
      </c>
      <c r="O10" s="19" t="n">
        <v>0.4</v>
      </c>
      <c r="P10" s="16" t="inlineStr">
        <is>
          <t>Ocupado</t>
        </is>
      </c>
      <c r="Q10" s="16" t="inlineStr">
        <is>
          <t>Leilão SFI</t>
        </is>
      </c>
      <c r="R10" s="16" t="inlineStr">
        <is>
          <t>115776</t>
        </is>
      </c>
      <c r="S10" s="16" t="inlineStr">
        <is>
          <t>PALHOCA-SC</t>
        </is>
      </c>
      <c r="T10" s="16" t="inlineStr">
        <is>
          <t>02/10/2026 / 08/10/2026</t>
        </is>
      </c>
      <c r="U10" s="16" t="inlineStr">
        <is>
          <t>MARCOS ROBERTO TORRES</t>
        </is>
      </c>
      <c r="V10" s="16" t="inlineStr">
        <is>
          <t>www.3torresleiloes.com.br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https://venda-imoveis.caixa.gov.br/editais/EL00450226CPARE.PDF</t>
        </is>
      </c>
      <c r="AC10" s="16" t="inlineStr">
        <is>
          <t>https://venda-imoveis.caixa.gov.br/editais/matricula/SC/8787715376741.pdf</t>
        </is>
      </c>
      <c r="AD10" s="16" t="inlineStr">
        <is>
          <t>https://venda-imoveis.caixa.gov.br/sistema/detalhe-imovel.asp?hdnimovel=08787715376741</t>
        </is>
      </c>
    </row>
    <row r="11">
      <c r="A11" s="16" t="inlineStr">
        <is>
          <t>878771588251-5</t>
        </is>
      </c>
      <c r="B11" s="16" t="inlineStr">
        <is>
          <t>TRIAGEM</t>
        </is>
      </c>
      <c r="C11" s="16" t="inlineStr"/>
      <c r="D11" s="16" t="inlineStr">
        <is>
          <t>PALHOCA</t>
        </is>
      </c>
      <c r="E11" s="16" t="inlineStr">
        <is>
          <t>BELA VISTA</t>
        </is>
      </c>
      <c r="F11" s="16" t="inlineStr">
        <is>
          <t>AVENIDA PAULO ROBERTO VIDAL,N. 2050 APTO. 102 BL 11, BELA VISTA - CEP: 88132-599, PALHOCA - SANTA CATARINA</t>
        </is>
      </c>
      <c r="G11" s="16" t="inlineStr">
        <is>
          <t>Apartamento</t>
        </is>
      </c>
      <c r="H11" s="16" t="inlineStr">
        <is>
          <t>2</t>
        </is>
      </c>
      <c r="I11" s="16" t="inlineStr">
        <is>
          <t>1</t>
        </is>
      </c>
      <c r="J11" s="17" t="n">
        <v>50.87</v>
      </c>
      <c r="K11" s="17" t="n">
        <v>43.8</v>
      </c>
      <c r="L11" s="18" t="n">
        <v>258000</v>
      </c>
      <c r="M11" s="18" t="n">
        <v>258000</v>
      </c>
      <c r="N11" s="18" t="n">
        <v>168932.94</v>
      </c>
      <c r="O11" s="19" t="n">
        <v>0.3452</v>
      </c>
      <c r="P11" s="16" t="inlineStr">
        <is>
          <t>Ocupado</t>
        </is>
      </c>
      <c r="Q11" s="16" t="inlineStr">
        <is>
          <t>Leilão SFI</t>
        </is>
      </c>
      <c r="R11" s="16" t="inlineStr">
        <is>
          <t>116295</t>
        </is>
      </c>
      <c r="S11" s="16" t="inlineStr">
        <is>
          <t>PALHOCA-SC</t>
        </is>
      </c>
      <c r="T11" s="16" t="inlineStr">
        <is>
          <t>14/10/2026 / 20/10/2026</t>
        </is>
      </c>
      <c r="U11" s="16" t="inlineStr">
        <is>
          <t>CIRLEI FREITAS BALBINO DA SILVA</t>
        </is>
      </c>
      <c r="V11" s="16" t="inlineStr">
        <is>
          <t>www.globoleiloes.com.br</t>
        </is>
      </c>
      <c r="W11" s="16" t="inlineStr">
        <is>
          <t>Recursos próprios. Permite utilização de FGTS. Consulte condições e enquadramento.</t>
        </is>
      </c>
      <c r="X11" s="16" t="inlineStr">
        <is>
          <t>Sob responsabilidade do comprador.</t>
        </is>
      </c>
      <c r="Y11" s="16" t="inlineStr">
        <is>
          <t>Sob responsabilidade do comprador.</t>
        </is>
      </c>
      <c r="Z11" s="16" t="inlineStr">
        <is>
          <t>SIM</t>
        </is>
      </c>
      <c r="AA11" s="16" t="inlineStr">
        <is>
          <t>NAO</t>
        </is>
      </c>
      <c r="AB11" s="16" t="inlineStr">
        <is>
          <t>https://venda-imoveis.caixa.gov.br/editais/EL00480226CPARE.PDF</t>
        </is>
      </c>
      <c r="AC11" s="16" t="inlineStr">
        <is>
          <t>https://venda-imoveis.caixa.gov.br/editais/matricula/SC/8787715882515.pdf</t>
        </is>
      </c>
      <c r="AD11" s="16" t="inlineStr">
        <is>
          <t>https://venda-imoveis.caixa.gov.br/sistema/detalhe-imovel.asp?hdnimovel=08787715882515</t>
        </is>
      </c>
    </row>
    <row r="12">
      <c r="A12" s="16" t="inlineStr">
        <is>
          <t>144441718579-3</t>
        </is>
      </c>
      <c r="B12" s="16" t="inlineStr">
        <is>
          <t>DESCARTADO</t>
        </is>
      </c>
      <c r="C12" s="16" t="inlineStr">
        <is>
          <t>fora_da_cidade;fora_do_bairro</t>
        </is>
      </c>
      <c r="D12" s="16" t="inlineStr">
        <is>
          <t>SAO_JOSE</t>
        </is>
      </c>
      <c r="E12" s="16" t="inlineStr">
        <is>
          <t>SERTAO DO MARUIM</t>
        </is>
      </c>
      <c r="F12" s="16" t="inlineStr">
        <is>
          <t>RUA ZILMA OLIVEIRA DA SILVA,N. SN LT 10 QD 03, SERTAO DO MARUIM - CEP: 88122-459, SAO JOSE - SANTA CATARINA</t>
        </is>
      </c>
      <c r="G12" s="16" t="inlineStr">
        <is>
          <t>Casa</t>
        </is>
      </c>
      <c r="H12" s="16" t="inlineStr">
        <is>
          <t>2</t>
        </is>
      </c>
      <c r="I12" s="16" t="inlineStr"/>
      <c r="J12" s="17" t="n">
        <v>200</v>
      </c>
      <c r="K12" s="17" t="n">
        <v>200</v>
      </c>
      <c r="L12" s="18" t="n">
        <v>1330000</v>
      </c>
      <c r="M12" s="18" t="n">
        <v>1330000</v>
      </c>
      <c r="N12" s="18" t="n">
        <v>798000</v>
      </c>
      <c r="O12" s="19" t="n">
        <v>0.4</v>
      </c>
      <c r="P12" s="16" t="inlineStr">
        <is>
          <t>Ocupado</t>
        </is>
      </c>
      <c r="Q12" s="16" t="inlineStr">
        <is>
          <t>Leilão SFI</t>
        </is>
      </c>
      <c r="R12" s="16" t="inlineStr">
        <is>
          <t>133028</t>
        </is>
      </c>
      <c r="S12" s="16" t="inlineStr">
        <is>
          <t>SAO JOSE-SC</t>
        </is>
      </c>
      <c r="T12" s="16" t="inlineStr">
        <is>
          <t>23/11/2026 / 27/11/2026</t>
        </is>
      </c>
      <c r="U12" s="16" t="inlineStr">
        <is>
          <t>RODRIGO SCHMITZ</t>
        </is>
      </c>
      <c r="V12" s="16" t="inlineStr">
        <is>
          <t>www.hammer.lel.br</t>
        </is>
      </c>
      <c r="W12" s="16" t="inlineStr">
        <is>
          <t>Exclusivamente à vista (somente recursos próprios).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NAO</t>
        </is>
      </c>
      <c r="AA12" s="16" t="inlineStr">
        <is>
          <t>NAO</t>
        </is>
      </c>
      <c r="AB12" s="16" t="inlineStr">
        <is>
          <t>https://venda-imoveis.caixa.gov.br/editais/EL00500226CPARE.PDF</t>
        </is>
      </c>
      <c r="AC12" s="16" t="inlineStr">
        <is>
          <t>https://venda-imoveis.caixa.gov.br/editais/matricula/SC/1444417185793.pdf</t>
        </is>
      </c>
      <c r="AD12" s="16" t="inlineStr">
        <is>
          <t>https://venda-imoveis.caixa.gov.br/sistema/detalhe-imovel.asp?hdnimovel=01444417185793</t>
        </is>
      </c>
    </row>
    <row r="13">
      <c r="A13" s="16" t="inlineStr">
        <is>
          <t>144441762824-5</t>
        </is>
      </c>
      <c r="B13" s="16" t="inlineStr">
        <is>
          <t>DESCARTADO</t>
        </is>
      </c>
      <c r="C13" s="16" t="inlineStr">
        <is>
          <t>fora_da_cidade;fora_do_bairro</t>
        </is>
      </c>
      <c r="D13" s="16" t="inlineStr">
        <is>
          <t>SAO_JOSE</t>
        </is>
      </c>
      <c r="E13" s="16" t="inlineStr">
        <is>
          <t>FORQUILHINHA</t>
        </is>
      </c>
      <c r="F13" s="16" t="inlineStr">
        <is>
          <t>RUA PEDRO PAULO DE ABREU,N. 801 APTO. 404 BL A VG 16, FORQUILHINHA - CEP: 88106-785, SAO JOSE - SANTA CATARINA</t>
        </is>
      </c>
      <c r="G13" s="16" t="inlineStr">
        <is>
          <t>Apartamento</t>
        </is>
      </c>
      <c r="H13" s="16" t="inlineStr">
        <is>
          <t>3</t>
        </is>
      </c>
      <c r="I13" s="16" t="inlineStr">
        <is>
          <t>1</t>
        </is>
      </c>
      <c r="J13" s="17" t="n">
        <v>80.44</v>
      </c>
      <c r="K13" s="17" t="n">
        <v>68.77</v>
      </c>
      <c r="L13" s="18" t="n">
        <v>305000</v>
      </c>
      <c r="M13" s="18" t="n">
        <v>305011.21</v>
      </c>
      <c r="N13" s="18" t="n">
        <v>185854.53</v>
      </c>
      <c r="O13" s="19" t="n">
        <v>0.3906</v>
      </c>
      <c r="P13" s="16" t="inlineStr">
        <is>
          <t>Ocupado</t>
        </is>
      </c>
      <c r="Q13" s="16" t="inlineStr">
        <is>
          <t>Leilão SFI</t>
        </is>
      </c>
      <c r="R13" s="16" t="inlineStr">
        <is>
          <t>76157</t>
        </is>
      </c>
      <c r="S13" s="16" t="inlineStr">
        <is>
          <t>SAO JOSE-SC</t>
        </is>
      </c>
      <c r="T13" s="16" t="inlineStr">
        <is>
          <t>20/10/2026 / 26/10/2026</t>
        </is>
      </c>
      <c r="U13" s="16" t="inlineStr">
        <is>
          <t>EDUARDO SCHMITZ</t>
        </is>
      </c>
      <c r="V13" s="16" t="inlineStr">
        <is>
          <t>www.clicleiloes.com.br</t>
        </is>
      </c>
      <c r="W13" s="16" t="inlineStr">
        <is>
          <t>Recursos próprios. Permite utilização de FGTS. Consulte condições e enquadramento.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SIM</t>
        </is>
      </c>
      <c r="AA13" s="16" t="inlineStr">
        <is>
          <t>NAO</t>
        </is>
      </c>
      <c r="AB13" s="16" t="inlineStr">
        <is>
          <t>https://venda-imoveis.caixa.gov.br/editais/EL00490226CPARE.PDF</t>
        </is>
      </c>
      <c r="AC13" s="16" t="inlineStr">
        <is>
          <t>https://venda-imoveis.caixa.gov.br/editais/matricula/SC/1444417628245.pdf</t>
        </is>
      </c>
      <c r="AD13" s="16" t="inlineStr">
        <is>
          <t>https://venda-imoveis.caixa.gov.br/sistema/detalhe-imovel.asp?hdnimovel=01444417628245</t>
        </is>
      </c>
    </row>
    <row r="14">
      <c r="A14" s="16" t="inlineStr">
        <is>
          <t>160000016077-0</t>
        </is>
      </c>
      <c r="B14" s="16" t="inlineStr">
        <is>
          <t>DESCARTADO</t>
        </is>
      </c>
      <c r="C14" s="16" t="inlineStr">
        <is>
          <t>fora_da_cidade;fora_do_bairro</t>
        </is>
      </c>
      <c r="D14" s="16" t="inlineStr">
        <is>
          <t>SAO_JOSE</t>
        </is>
      </c>
      <c r="E14" s="16" t="inlineStr">
        <is>
          <t>AREIAS</t>
        </is>
      </c>
      <c r="F14" s="16" t="inlineStr">
        <is>
          <t>RUA AUGUSTO JORGE BRUGGEMANN,N. 550 APTO. 301 LT 10 QD 09, AREIAS - CEP: 88113-823, SAO JOSE - SANTA CATARINA</t>
        </is>
      </c>
      <c r="G14" s="16" t="inlineStr">
        <is>
          <t>Apartamento</t>
        </is>
      </c>
      <c r="H14" s="16" t="inlineStr">
        <is>
          <t>3</t>
        </is>
      </c>
      <c r="I14" s="16" t="inlineStr">
        <is>
          <t>2</t>
        </is>
      </c>
      <c r="J14" s="17" t="n">
        <v>250.33</v>
      </c>
      <c r="K14" s="17" t="n">
        <v>186.64</v>
      </c>
      <c r="L14" s="18" t="n">
        <v>872000</v>
      </c>
      <c r="M14" s="18" t="n">
        <v>0</v>
      </c>
      <c r="N14" s="18" t="n">
        <v>0</v>
      </c>
      <c r="O14" s="19" t="n">
        <v>0.3627</v>
      </c>
      <c r="P14" s="16" t="inlineStr">
        <is>
          <t>Ocupado</t>
        </is>
      </c>
      <c r="Q14" s="16" t="inlineStr">
        <is>
          <t>Venda Online</t>
        </is>
      </c>
      <c r="R14" s="16" t="inlineStr">
        <is>
          <t>129686</t>
        </is>
      </c>
      <c r="S14" s="16" t="inlineStr">
        <is>
          <t>SAO JOSE-SC</t>
        </is>
      </c>
      <c r="T14" s="16" t="inlineStr"/>
      <c r="U14" s="16" t="inlineStr"/>
      <c r="V14" s="16" t="inlineStr"/>
      <c r="W14" s="16" t="inlineStr">
        <is>
          <t>Recursos próprios. Permite utilização de FGTS. Consulte condições e enquadramento. Permite financiamento - somente SBPE. Consulte condições antes de efetuar a proposta.</t>
        </is>
      </c>
      <c r="X14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4" s="16" t="inlineStr">
        <is>
          <t>Sob responsabilidade do comprador, quando o débito for inferior a 10% do valor de avaliação. A CAIXA paga integralmente quando o débito for superior a 10% do valor de avaliação.</t>
        </is>
      </c>
      <c r="Z14" s="16" t="inlineStr">
        <is>
          <t>SIM</t>
        </is>
      </c>
      <c r="AA14" s="16" t="inlineStr">
        <is>
          <t>SIM</t>
        </is>
      </c>
      <c r="AB14" s="16" t="inlineStr"/>
      <c r="AC14" s="16" t="inlineStr">
        <is>
          <t>https://venda-imoveis.caixa.gov.br/editais/matricula/SC/1600000160770.pdf</t>
        </is>
      </c>
      <c r="AD14" s="16" t="inlineStr">
        <is>
          <t>https://venda-imoveis.caixa.gov.br/sistema/detalhe-imovel.asp?hdnimovel=01600000160770</t>
        </is>
      </c>
    </row>
    <row r="15">
      <c r="A15" s="16" t="inlineStr">
        <is>
          <t>844441577446-3</t>
        </is>
      </c>
      <c r="B15" s="16" t="inlineStr">
        <is>
          <t>DESCARTADO</t>
        </is>
      </c>
      <c r="C15" s="16" t="inlineStr">
        <is>
          <t>fora_da_cidade;fora_do_bairro</t>
        </is>
      </c>
      <c r="D15" s="16" t="inlineStr">
        <is>
          <t>SAO_JOSE</t>
        </is>
      </c>
      <c r="E15" s="16" t="inlineStr">
        <is>
          <t>FORQUILHAS LESTE</t>
        </is>
      </c>
      <c r="F15" s="16" t="inlineStr">
        <is>
          <t>RUA OLINDO CORTINA,N. 251 LOTE 15 QUADRA 01, FORQUILHAS LESTE - CEP: 88107-564, SAO JOSE - SANTA CATARINA</t>
        </is>
      </c>
      <c r="G15" s="16" t="inlineStr">
        <is>
          <t>Casa</t>
        </is>
      </c>
      <c r="H15" s="16" t="inlineStr">
        <is>
          <t>2</t>
        </is>
      </c>
      <c r="I15" s="16" t="inlineStr">
        <is>
          <t>1</t>
        </is>
      </c>
      <c r="J15" s="17" t="n">
        <v>66.87</v>
      </c>
      <c r="K15" s="17" t="n">
        <v>53.4</v>
      </c>
      <c r="L15" s="18" t="n">
        <v>337000</v>
      </c>
      <c r="M15" s="18" t="n">
        <v>337000</v>
      </c>
      <c r="N15" s="18" t="n">
        <v>202200</v>
      </c>
      <c r="O15" s="19" t="n">
        <v>0.4</v>
      </c>
      <c r="P15" s="16" t="inlineStr">
        <is>
          <t>Ocupado</t>
        </is>
      </c>
      <c r="Q15" s="16" t="inlineStr">
        <is>
          <t>Leilão SFI</t>
        </is>
      </c>
      <c r="R15" s="16" t="inlineStr">
        <is>
          <t>136507</t>
        </is>
      </c>
      <c r="S15" s="16" t="inlineStr">
        <is>
          <t>SAO JOSE-SC</t>
        </is>
      </c>
      <c r="T15" s="16" t="inlineStr">
        <is>
          <t>24/11/2026 / 30/11/2026</t>
        </is>
      </c>
      <c r="U15" s="16" t="inlineStr">
        <is>
          <t>TATIANA PAULA ZANI DE SOUSA</t>
        </is>
      </c>
      <c r="V15" s="16" t="inlineStr">
        <is>
          <t>www.liderleiloes.com.br</t>
        </is>
      </c>
      <c r="W15" s="16" t="inlineStr">
        <is>
          <t>Recursos próprios. Permite utilização de FGTS. Consulte condições e enquadramento.</t>
        </is>
      </c>
      <c r="X15" s="16" t="inlineStr">
        <is>
          <t>Sob responsabilidade do comprador.</t>
        </is>
      </c>
      <c r="Y15" s="16" t="inlineStr">
        <is>
          <t>Sob responsabilidade do comprador.</t>
        </is>
      </c>
      <c r="Z15" s="16" t="inlineStr">
        <is>
          <t>SIM</t>
        </is>
      </c>
      <c r="AA15" s="16" t="inlineStr">
        <is>
          <t>NAO</t>
        </is>
      </c>
      <c r="AB15" s="16" t="inlineStr">
        <is>
          <t>https://venda-imoveis.caixa.gov.br/editais/EL00510226CPARE.PDF</t>
        </is>
      </c>
      <c r="AC15" s="16" t="inlineStr">
        <is>
          <t>https://venda-imoveis.caixa.gov.br/editais/matricula/SC/8444415774463.pdf</t>
        </is>
      </c>
      <c r="AD15" s="16" t="inlineStr">
        <is>
          <t>https://venda-imoveis.caixa.gov.br/sistema/detalhe-imovel.asp?hdnimovel=08444415774463</t>
        </is>
      </c>
    </row>
    <row r="16">
      <c r="A16" s="16" t="inlineStr">
        <is>
          <t>855550750226-7</t>
        </is>
      </c>
      <c r="B16" s="16" t="inlineStr">
        <is>
          <t>DESCARTADO</t>
        </is>
      </c>
      <c r="C16" s="16" t="inlineStr">
        <is>
          <t>fora_da_cidade;fora_do_bairro</t>
        </is>
      </c>
      <c r="D16" s="16" t="inlineStr">
        <is>
          <t>SAO_JOSE</t>
        </is>
      </c>
      <c r="E16" s="16" t="inlineStr">
        <is>
          <t>FORQUILHINHA</t>
        </is>
      </c>
      <c r="F16" s="16" t="inlineStr">
        <is>
          <t>AVENIDA VALDEMAR SCHMIDT,N. 1057 APTO. 04, FORQUILHINHA - CEP: 88107-020, SAO JOSE - SANTA CATARINA</t>
        </is>
      </c>
      <c r="G16" s="16" t="inlineStr">
        <is>
          <t>Apartamento</t>
        </is>
      </c>
      <c r="H16" s="16" t="inlineStr">
        <is>
          <t>2</t>
        </is>
      </c>
      <c r="I16" s="16" t="inlineStr"/>
      <c r="J16" s="17" t="n">
        <v>77.17</v>
      </c>
      <c r="K16" s="17" t="n">
        <v>63.23</v>
      </c>
      <c r="L16" s="18" t="n">
        <v>325000</v>
      </c>
      <c r="M16" s="18" t="n">
        <v>325000</v>
      </c>
      <c r="N16" s="18" t="n">
        <v>195000</v>
      </c>
      <c r="O16" s="19" t="n">
        <v>0.4</v>
      </c>
      <c r="P16" s="16" t="inlineStr">
        <is>
          <t>Ocupado</t>
        </is>
      </c>
      <c r="Q16" s="16" t="inlineStr">
        <is>
          <t>Leilão SFI</t>
        </is>
      </c>
      <c r="R16" s="16" t="inlineStr">
        <is>
          <t>84865</t>
        </is>
      </c>
      <c r="S16" s="16" t="inlineStr">
        <is>
          <t>SAO JOSE-SC</t>
        </is>
      </c>
      <c r="T16" s="16" t="inlineStr">
        <is>
          <t>23/11/2026 / 27/11/2026</t>
        </is>
      </c>
      <c r="U16" s="16" t="inlineStr">
        <is>
          <t>RODRIGO SCHMITZ</t>
        </is>
      </c>
      <c r="V16" s="16" t="inlineStr">
        <is>
          <t>www.hammer.lel.br</t>
        </is>
      </c>
      <c r="W16" s="16" t="inlineStr">
        <is>
          <t>Exclusivamente à vista (somente recursos próprios).</t>
        </is>
      </c>
      <c r="X16" s="16" t="inlineStr">
        <is>
          <t>Sob responsabilidade do comprador.</t>
        </is>
      </c>
      <c r="Y16" s="16" t="inlineStr">
        <is>
          <t>Sob responsabilidade do comprador.</t>
        </is>
      </c>
      <c r="Z16" s="16" t="inlineStr">
        <is>
          <t>NAO</t>
        </is>
      </c>
      <c r="AA16" s="16" t="inlineStr">
        <is>
          <t>NAO</t>
        </is>
      </c>
      <c r="AB16" s="16" t="inlineStr">
        <is>
          <t>https://venda-imoveis.caixa.gov.br/editais/EL00500226CPARE.PDF</t>
        </is>
      </c>
      <c r="AC16" s="16" t="inlineStr">
        <is>
          <t>https://venda-imoveis.caixa.gov.br/editais/matricula/SC/8555507502267.pdf</t>
        </is>
      </c>
      <c r="AD16" s="16" t="inlineStr">
        <is>
          <t>https://venda-imoveis.caixa.gov.br/sistema/detalhe-imovel.asp?hdnimovel=08555507502267</t>
        </is>
      </c>
    </row>
    <row r="17">
      <c r="A17" s="16" t="inlineStr">
        <is>
          <t>855553340804-3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SAO_JOSE</t>
        </is>
      </c>
      <c r="E17" s="16" t="inlineStr">
        <is>
          <t>REAL PARQUE</t>
        </is>
      </c>
      <c r="F17" s="16" t="inlineStr">
        <is>
          <t>RUA ZIONI BERKENBROCK,N. 386 APTO. 102 BL B16, REAL PARQUE - CEP: 88113-500, SAO JOSE - SANTA CATARINA</t>
        </is>
      </c>
      <c r="G17" s="16" t="inlineStr">
        <is>
          <t>Apartamento</t>
        </is>
      </c>
      <c r="H17" s="16" t="inlineStr">
        <is>
          <t>2</t>
        </is>
      </c>
      <c r="I17" s="16" t="inlineStr"/>
      <c r="J17" s="17" t="n">
        <v>54.72</v>
      </c>
      <c r="K17" s="17" t="n">
        <v>48.2</v>
      </c>
      <c r="L17" s="18" t="n">
        <v>305000</v>
      </c>
      <c r="M17" s="18" t="n">
        <v>305000</v>
      </c>
      <c r="N17" s="18" t="n">
        <v>183000</v>
      </c>
      <c r="O17" s="19" t="n">
        <v>0.4</v>
      </c>
      <c r="P17" s="16" t="inlineStr">
        <is>
          <t>Ocupado</t>
        </is>
      </c>
      <c r="Q17" s="16" t="inlineStr">
        <is>
          <t>Leilão SFI</t>
        </is>
      </c>
      <c r="R17" s="16" t="inlineStr">
        <is>
          <t>11217</t>
        </is>
      </c>
      <c r="S17" s="16" t="inlineStr">
        <is>
          <t>SAO JOSE-SC</t>
        </is>
      </c>
      <c r="T17" s="16" t="inlineStr">
        <is>
          <t>23/11/2026 / 27/11/2026</t>
        </is>
      </c>
      <c r="U17" s="16" t="inlineStr">
        <is>
          <t>RODRIGO SCHMITZ</t>
        </is>
      </c>
      <c r="V17" s="16" t="inlineStr">
        <is>
          <t>www.hammer.lel.br</t>
        </is>
      </c>
      <c r="W17" s="16" t="inlineStr">
        <is>
          <t>Recursos próprios. Permite utilização de FGTS. Consulte condições e enquadramento.</t>
        </is>
      </c>
      <c r="X17" s="16" t="inlineStr">
        <is>
          <t>Sob responsabilidade do comprador.</t>
        </is>
      </c>
      <c r="Y17" s="16" t="inlineStr">
        <is>
          <t>Sob responsabilidade do comprador.</t>
        </is>
      </c>
      <c r="Z17" s="16" t="inlineStr">
        <is>
          <t>SIM</t>
        </is>
      </c>
      <c r="AA17" s="16" t="inlineStr">
        <is>
          <t>NAO</t>
        </is>
      </c>
      <c r="AB17" s="16" t="inlineStr">
        <is>
          <t>https://venda-imoveis.caixa.gov.br/editais/EL00500226CPARE.PDF</t>
        </is>
      </c>
      <c r="AC17" s="16" t="inlineStr">
        <is>
          <t>https://venda-imoveis.caixa.gov.br/editais/matricula/SC/8555533408043.pdf</t>
        </is>
      </c>
      <c r="AD17" s="16" t="inlineStr">
        <is>
          <t>https://venda-imoveis.caixa.gov.br/sistema/detalhe-imovel.asp?hdnimovel=08555533408043</t>
        </is>
      </c>
    </row>
    <row r="18">
      <c r="A18" s="16" t="inlineStr">
        <is>
          <t>855553592682-3</t>
        </is>
      </c>
      <c r="B18" s="16" t="inlineStr">
        <is>
          <t>DESCARTADO</t>
        </is>
      </c>
      <c r="C18" s="16" t="inlineStr">
        <is>
          <t>fora_da_cidade;fora_do_bairro</t>
        </is>
      </c>
      <c r="D18" s="16" t="inlineStr">
        <is>
          <t>SAO_JOSE</t>
        </is>
      </c>
      <c r="E18" s="16" t="inlineStr">
        <is>
          <t>FORQUILHAS LESTE</t>
        </is>
      </c>
      <c r="F18" s="16" t="inlineStr">
        <is>
          <t>RUA ANTONIO JOVITA DUARTE,N. 3147 APTO. 101 PAV TERREO BL 10, FORQUILHAS LESTE - CEP: 88107-100, SAO JOSE - SANTA CATARINA</t>
        </is>
      </c>
      <c r="G18" s="16" t="inlineStr">
        <is>
          <t>Apartamento</t>
        </is>
      </c>
      <c r="H18" s="16" t="inlineStr">
        <is>
          <t>2</t>
        </is>
      </c>
      <c r="I18" s="16" t="inlineStr">
        <is>
          <t>1</t>
        </is>
      </c>
      <c r="J18" s="17" t="n">
        <v>49.6</v>
      </c>
      <c r="K18" s="17" t="n">
        <v>44.78</v>
      </c>
      <c r="L18" s="18" t="n">
        <v>265000</v>
      </c>
      <c r="M18" s="18" t="n">
        <v>265000</v>
      </c>
      <c r="N18" s="18" t="n">
        <v>159000</v>
      </c>
      <c r="O18" s="19" t="n">
        <v>0.4</v>
      </c>
      <c r="P18" s="16" t="inlineStr">
        <is>
          <t>Ocupado</t>
        </is>
      </c>
      <c r="Q18" s="16" t="inlineStr">
        <is>
          <t>Leilão SFI</t>
        </is>
      </c>
      <c r="R18" s="16" t="inlineStr">
        <is>
          <t>106751</t>
        </is>
      </c>
      <c r="S18" s="16" t="inlineStr">
        <is>
          <t>SAO JOSE-SC</t>
        </is>
      </c>
      <c r="T18" s="16" t="inlineStr">
        <is>
          <t>24/11/2026 / 30/11/2026</t>
        </is>
      </c>
      <c r="U18" s="16" t="inlineStr">
        <is>
          <t>TATIANA PAULA ZANI DE SOUSA</t>
        </is>
      </c>
      <c r="V18" s="16" t="inlineStr">
        <is>
          <t>www.liderleiloes.com.br</t>
        </is>
      </c>
      <c r="W18" s="16" t="inlineStr">
        <is>
          <t>Recursos próprios. Permite utilização de FGTS. Consulte condições e enquadramento.</t>
        </is>
      </c>
      <c r="X18" s="16" t="inlineStr">
        <is>
          <t>Sob responsabilidade do comprador.</t>
        </is>
      </c>
      <c r="Y18" s="16" t="inlineStr">
        <is>
          <t>Sob responsabilidade do comprador.</t>
        </is>
      </c>
      <c r="Z18" s="16" t="inlineStr">
        <is>
          <t>SIM</t>
        </is>
      </c>
      <c r="AA18" s="16" t="inlineStr">
        <is>
          <t>NAO</t>
        </is>
      </c>
      <c r="AB18" s="16" t="inlineStr">
        <is>
          <t>https://venda-imoveis.caixa.gov.br/editais/EL00510226CPARE.PDF</t>
        </is>
      </c>
      <c r="AC18" s="16" t="inlineStr">
        <is>
          <t>https://venda-imoveis.caixa.gov.br/editais/matricula/SC/8555535926823.pdf</t>
        </is>
      </c>
      <c r="AD18" s="16" t="inlineStr">
        <is>
          <t>https://venda-imoveis.caixa.gov.br/sistema/detalhe-imovel.asp?hdnimovel=08555535926823</t>
        </is>
      </c>
    </row>
    <row r="19">
      <c r="A19" s="16" t="inlineStr">
        <is>
          <t>878771222509-2</t>
        </is>
      </c>
      <c r="B19" s="16" t="inlineStr">
        <is>
          <t>DESCARTADO</t>
        </is>
      </c>
      <c r="C19" s="16" t="inlineStr">
        <is>
          <t>fora_da_cidade;fora_do_bairro</t>
        </is>
      </c>
      <c r="D19" s="16" t="inlineStr">
        <is>
          <t>SAO_JOSE</t>
        </is>
      </c>
      <c r="E19" s="16" t="inlineStr">
        <is>
          <t>AREIAS</t>
        </is>
      </c>
      <c r="F19" s="16" t="inlineStr">
        <is>
          <t>RUA LOURIVAL LUIZ GOMES,N. 315 APTO. 203 BL 19 VAGA 336, AREIAS - CEP: 88113-845, SAO JOSE - SANTA CATARINA</t>
        </is>
      </c>
      <c r="G19" s="16" t="inlineStr">
        <is>
          <t>Apartamento</t>
        </is>
      </c>
      <c r="H19" s="16" t="inlineStr">
        <is>
          <t>2</t>
        </is>
      </c>
      <c r="I19" s="16" t="inlineStr">
        <is>
          <t>1</t>
        </is>
      </c>
      <c r="J19" s="17" t="n">
        <v>75.55</v>
      </c>
      <c r="K19" s="17" t="n">
        <v>40.28</v>
      </c>
      <c r="L19" s="18" t="n">
        <v>250000</v>
      </c>
      <c r="M19" s="18" t="n">
        <v>250000</v>
      </c>
      <c r="N19" s="18" t="n">
        <v>154256.96</v>
      </c>
      <c r="O19" s="19" t="n">
        <v>0.383</v>
      </c>
      <c r="P19" s="16" t="inlineStr">
        <is>
          <t>Ocupado</t>
        </is>
      </c>
      <c r="Q19" s="16" t="inlineStr">
        <is>
          <t>Leilão SFI</t>
        </is>
      </c>
      <c r="R19" s="16" t="inlineStr">
        <is>
          <t>2772</t>
        </is>
      </c>
      <c r="S19" s="16" t="inlineStr">
        <is>
          <t>SAO JOSE-SC</t>
        </is>
      </c>
      <c r="T19" s="16" t="inlineStr">
        <is>
          <t>14/10/2026 / 20/10/2026</t>
        </is>
      </c>
      <c r="U19" s="16" t="inlineStr">
        <is>
          <t>CIRLEI FREITAS BALBINO DA SILVA</t>
        </is>
      </c>
      <c r="V19" s="16" t="inlineStr">
        <is>
          <t>www.globoleiloes.com.br</t>
        </is>
      </c>
      <c r="W19" s="16" t="inlineStr">
        <is>
          <t>Recursos próprios. Permite utilização de FGTS. Consulte condições e enquadramento.</t>
        </is>
      </c>
      <c r="X19" s="16" t="inlineStr">
        <is>
          <t>Sob responsabilidade do comprador.</t>
        </is>
      </c>
      <c r="Y19" s="16" t="inlineStr">
        <is>
          <t>Sob responsabilidade do comprador.</t>
        </is>
      </c>
      <c r="Z19" s="16" t="inlineStr">
        <is>
          <t>SIM</t>
        </is>
      </c>
      <c r="AA19" s="16" t="inlineStr">
        <is>
          <t>NAO</t>
        </is>
      </c>
      <c r="AB19" s="16" t="inlineStr">
        <is>
          <t>https://venda-imoveis.caixa.gov.br/editais/EL00480226CPARE.PDF</t>
        </is>
      </c>
      <c r="AC19" s="16" t="inlineStr">
        <is>
          <t>https://venda-imoveis.caixa.gov.br/editais/matricula/SC/8787712225092.pdf</t>
        </is>
      </c>
      <c r="AD19" s="16" t="inlineStr">
        <is>
          <t>https://venda-imoveis.caixa.gov.br/sistema/detalhe-imovel.asp?hdnimovel=08787712225092</t>
        </is>
      </c>
    </row>
    <row r="20">
      <c r="A20" s="16" t="inlineStr">
        <is>
          <t>878771317103-4</t>
        </is>
      </c>
      <c r="B20" s="16" t="inlineStr">
        <is>
          <t>DESCARTADO</t>
        </is>
      </c>
      <c r="C20" s="16" t="inlineStr">
        <is>
          <t>fora_da_cidade;fora_do_bairro</t>
        </is>
      </c>
      <c r="D20" s="16" t="inlineStr">
        <is>
          <t>SAO_JOSE</t>
        </is>
      </c>
      <c r="E20" s="16" t="inlineStr">
        <is>
          <t>SERTAO DO MARUIM</t>
        </is>
      </c>
      <c r="F20" s="16" t="inlineStr">
        <is>
          <t>RUA VIDAL VICENTE ANDRADE,N. 1171 APTO. 404 BL 2 VG 264, SERTAO DO MARUIM - CEP: 88121-810, SAO JOSE - SANTA CATARINA</t>
        </is>
      </c>
      <c r="G20" s="16" t="inlineStr">
        <is>
          <t>Apartamento</t>
        </is>
      </c>
      <c r="H20" s="16" t="inlineStr">
        <is>
          <t>2</t>
        </is>
      </c>
      <c r="I20" s="16" t="inlineStr">
        <is>
          <t>1</t>
        </is>
      </c>
      <c r="J20" s="17" t="n">
        <v>76.62</v>
      </c>
      <c r="K20" s="17" t="n">
        <v>40.28</v>
      </c>
      <c r="L20" s="18" t="n">
        <v>250000</v>
      </c>
      <c r="M20" s="18" t="n">
        <v>250000</v>
      </c>
      <c r="N20" s="18" t="n">
        <v>152483.93</v>
      </c>
      <c r="O20" s="19" t="n">
        <v>0.3901</v>
      </c>
      <c r="P20" s="16" t="inlineStr">
        <is>
          <t>Ocupado</t>
        </is>
      </c>
      <c r="Q20" s="16" t="inlineStr">
        <is>
          <t>Leilão SFI</t>
        </is>
      </c>
      <c r="R20" s="16" t="inlineStr">
        <is>
          <t>148810</t>
        </is>
      </c>
      <c r="S20" s="16" t="inlineStr">
        <is>
          <t>SAO JOSE-SC</t>
        </is>
      </c>
      <c r="T20" s="16" t="inlineStr">
        <is>
          <t>23/11/2026 / 27/11/2026</t>
        </is>
      </c>
      <c r="U20" s="16" t="inlineStr">
        <is>
          <t>RODRIGO SCHMITZ</t>
        </is>
      </c>
      <c r="V20" s="16" t="inlineStr">
        <is>
          <t>www.hammer.lel.br</t>
        </is>
      </c>
      <c r="W20" s="16" t="inlineStr">
        <is>
          <t>Recursos próprios. Permite utilização de FGTS. Consulte condições e enquadramento.</t>
        </is>
      </c>
      <c r="X20" s="16" t="inlineStr">
        <is>
          <t>Sob responsabilidade do comprador.</t>
        </is>
      </c>
      <c r="Y20" s="16" t="inlineStr">
        <is>
          <t>Sob responsabilidade do comprador.</t>
        </is>
      </c>
      <c r="Z20" s="16" t="inlineStr">
        <is>
          <t>SIM</t>
        </is>
      </c>
      <c r="AA20" s="16" t="inlineStr">
        <is>
          <t>NAO</t>
        </is>
      </c>
      <c r="AB20" s="16" t="inlineStr">
        <is>
          <t>https://venda-imoveis.caixa.gov.br/editais/EL00500226CPARE.PDF</t>
        </is>
      </c>
      <c r="AC20" s="16" t="inlineStr">
        <is>
          <t>https://venda-imoveis.caixa.gov.br/editais/matricula/SC/8787713171034.pdf</t>
        </is>
      </c>
      <c r="AD20" s="16" t="inlineStr">
        <is>
          <t>https://venda-imoveis.caixa.gov.br/sistema/detalhe-imovel.asp?hdnimovel=08787713171034</t>
        </is>
      </c>
    </row>
    <row r="21">
      <c r="A21" s="16" t="inlineStr">
        <is>
          <t>878771529055-3</t>
        </is>
      </c>
      <c r="B21" s="16" t="inlineStr">
        <is>
          <t>DESCARTADO</t>
        </is>
      </c>
      <c r="C21" s="16" t="inlineStr">
        <is>
          <t>fora_da_cidade;fora_do_bairro</t>
        </is>
      </c>
      <c r="D21" s="16" t="inlineStr">
        <is>
          <t>SAO_JOSE</t>
        </is>
      </c>
      <c r="E21" s="16" t="inlineStr">
        <is>
          <t>SERTAO DO MARUIM</t>
        </is>
      </c>
      <c r="F21" s="16" t="inlineStr">
        <is>
          <t>RUA VALTELINO LEAL DEMETRIO,N. 18 APTO. 303 BL 04 PAV 03, SERTAO DO MARUIM - CEP: 88122-150, SAO JOSE - SANTA CATARINA</t>
        </is>
      </c>
      <c r="G21" s="16" t="inlineStr">
        <is>
          <t>Apartamento</t>
        </is>
      </c>
      <c r="H21" s="16" t="inlineStr">
        <is>
          <t>2</t>
        </is>
      </c>
      <c r="I21" s="16" t="inlineStr">
        <is>
          <t>1</t>
        </is>
      </c>
      <c r="J21" s="17" t="n">
        <v>57.16</v>
      </c>
      <c r="K21" s="17" t="n">
        <v>48.08</v>
      </c>
      <c r="L21" s="18" t="n">
        <v>285000</v>
      </c>
      <c r="M21" s="18" t="n">
        <v>285000</v>
      </c>
      <c r="N21" s="18" t="n">
        <v>199679.4</v>
      </c>
      <c r="O21" s="19" t="n">
        <v>0.2994</v>
      </c>
      <c r="P21" s="16" t="inlineStr">
        <is>
          <t>Ocupado</t>
        </is>
      </c>
      <c r="Q21" s="16" t="inlineStr">
        <is>
          <t>Leilão SFI</t>
        </is>
      </c>
      <c r="R21" s="16" t="inlineStr">
        <is>
          <t>148074</t>
        </is>
      </c>
      <c r="S21" s="16" t="inlineStr">
        <is>
          <t>SAO JOSE-SC</t>
        </is>
      </c>
      <c r="T21" s="16" t="inlineStr">
        <is>
          <t>24/11/2026 / 30/11/2026</t>
        </is>
      </c>
      <c r="U21" s="16" t="inlineStr">
        <is>
          <t>TATIANA PAULA ZANI DE SOUSA</t>
        </is>
      </c>
      <c r="V21" s="16" t="inlineStr">
        <is>
          <t>www.liderleiloes.com.br</t>
        </is>
      </c>
      <c r="W21" s="16" t="inlineStr">
        <is>
          <t>Recursos próprios. Permite utilização de FGTS. Consulte condições e enquadramento.</t>
        </is>
      </c>
      <c r="X21" s="16" t="inlineStr">
        <is>
          <t>Sob responsabilidade do comprador.</t>
        </is>
      </c>
      <c r="Y21" s="16" t="inlineStr">
        <is>
          <t>Sob responsabilidade do comprador.</t>
        </is>
      </c>
      <c r="Z21" s="16" t="inlineStr">
        <is>
          <t>SIM</t>
        </is>
      </c>
      <c r="AA21" s="16" t="inlineStr">
        <is>
          <t>NAO</t>
        </is>
      </c>
      <c r="AB21" s="16" t="inlineStr">
        <is>
          <t>https://venda-imoveis.caixa.gov.br/editais/EL00510226CPARE.PDF</t>
        </is>
      </c>
      <c r="AC21" s="16" t="inlineStr">
        <is>
          <t>https://venda-imoveis.caixa.gov.br/editais/matricula/SC/8787715290553.pdf</t>
        </is>
      </c>
      <c r="AD21" s="16" t="inlineStr">
        <is>
          <t>https://venda-imoveis.caixa.gov.br/sistema/detalhe-imovel.asp?hdnimovel=08787715290553</t>
        </is>
      </c>
    </row>
    <row r="22">
      <c r="A22" s="16" t="inlineStr">
        <is>
          <t>000001028634-4</t>
        </is>
      </c>
      <c r="B22" s="16" t="inlineStr">
        <is>
          <t>DESCARTADO</t>
        </is>
      </c>
      <c r="C22" s="16" t="inlineStr">
        <is>
          <t>fora_da_cidade;fora_do_bairro</t>
        </is>
      </c>
      <c r="D22" s="16" t="inlineStr">
        <is>
          <t>FLORIANOPOLIS</t>
        </is>
      </c>
      <c r="E22" s="16" t="inlineStr">
        <is>
          <t>ESTREITO</t>
        </is>
      </c>
      <c r="F22" s="16" t="inlineStr">
        <is>
          <t>AVENIDA GOVERNADOR IVO SILVEIRA,N. 2487, ESTREITO - CEP: 88085-001, FLORIANOPOLIS - SANTA CATARINA</t>
        </is>
      </c>
      <c r="G22" s="16" t="inlineStr">
        <is>
          <t>Comercial</t>
        </is>
      </c>
      <c r="H22" s="16" t="inlineStr"/>
      <c r="I22" s="16" t="inlineStr"/>
      <c r="J22" s="17" t="n">
        <v>0</v>
      </c>
      <c r="K22" s="17" t="n">
        <v>577.1</v>
      </c>
      <c r="L22" s="18" t="n">
        <v>3035000</v>
      </c>
      <c r="M22" s="18" t="n">
        <v>0</v>
      </c>
      <c r="N22" s="18" t="n">
        <v>0</v>
      </c>
      <c r="O22" s="19" t="n">
        <v>0.3627</v>
      </c>
      <c r="P22" s="16" t="inlineStr">
        <is>
          <t>Ocupado</t>
        </is>
      </c>
      <c r="Q22" s="16" t="inlineStr">
        <is>
          <t>Venda Online</t>
        </is>
      </c>
      <c r="R22" s="16" t="inlineStr">
        <is>
          <t>4894</t>
        </is>
      </c>
      <c r="S22" s="16" t="inlineStr">
        <is>
          <t>FLORIANOPOLIS-SC</t>
        </is>
      </c>
      <c r="T22" s="16" t="inlineStr"/>
      <c r="U22" s="16" t="inlineStr"/>
      <c r="V22" s="16" t="inlineStr"/>
      <c r="W22" s="16" t="inlineStr">
        <is>
          <t>Recursos próprios. Permite financiamento - somente SBPE. Consulte condições antes de efetuar a proposta.</t>
        </is>
      </c>
      <c r="X22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22" s="16" t="inlineStr">
        <is>
          <t>Sob responsabilidade do comprador, quando o débito for inferior a 10% do valor de avaliação. A CAIXA paga integralmente quando o débito for superior a 10% do valor de avaliação.</t>
        </is>
      </c>
      <c r="Z22" s="16" t="inlineStr">
        <is>
          <t>NAO</t>
        </is>
      </c>
      <c r="AA22" s="16" t="inlineStr">
        <is>
          <t>SIM</t>
        </is>
      </c>
      <c r="AB22" s="16" t="inlineStr"/>
      <c r="AC22" s="16" t="inlineStr">
        <is>
          <t>https://venda-imoveis.caixa.gov.br/editais/matricula/SC/0000010286344.pdf</t>
        </is>
      </c>
      <c r="AD22" s="16" t="inlineStr">
        <is>
          <t>https://venda-imoveis.caixa.gov.br/sistema/detalhe-imovel.asp?hdnimovel=00000010286344</t>
        </is>
      </c>
    </row>
    <row r="23">
      <c r="A23" s="16" t="inlineStr">
        <is>
          <t>144440299841-6</t>
        </is>
      </c>
      <c r="B23" s="16" t="inlineStr">
        <is>
          <t>DESCARTADO</t>
        </is>
      </c>
      <c r="C23" s="16" t="inlineStr">
        <is>
          <t>fora_da_cidade;fora_do_bairro</t>
        </is>
      </c>
      <c r="D23" s="16" t="inlineStr">
        <is>
          <t>FLORIANOPOLIS</t>
        </is>
      </c>
      <c r="E23" s="16" t="inlineStr">
        <is>
          <t>CENTRO</t>
        </is>
      </c>
      <c r="F23" s="16" t="inlineStr">
        <is>
          <t>RUA DESEMBARGADOR ARNO HOESCHL,N. 121 APTO. 102, BOX 15, CENTRO - CEP: 88015-620, FLORIANOPOLIS - SANTA CATARINA</t>
        </is>
      </c>
      <c r="G23" s="16" t="inlineStr">
        <is>
          <t>Apartamento</t>
        </is>
      </c>
      <c r="H23" s="16" t="inlineStr">
        <is>
          <t>3</t>
        </is>
      </c>
      <c r="I23" s="16" t="inlineStr">
        <is>
          <t>1</t>
        </is>
      </c>
      <c r="J23" s="17" t="n">
        <v>149.18</v>
      </c>
      <c r="K23" s="17" t="n">
        <v>115.49</v>
      </c>
      <c r="L23" s="18" t="n">
        <v>1270000</v>
      </c>
      <c r="M23" s="18" t="n">
        <v>0</v>
      </c>
      <c r="N23" s="18" t="n">
        <v>0</v>
      </c>
      <c r="O23" s="19" t="n">
        <v>0.3627</v>
      </c>
      <c r="P23" s="16" t="inlineStr">
        <is>
          <t>Ocupado</t>
        </is>
      </c>
      <c r="Q23" s="16" t="inlineStr">
        <is>
          <t>Venda Online</t>
        </is>
      </c>
      <c r="R23" s="16" t="inlineStr">
        <is>
          <t>31204, 31205</t>
        </is>
      </c>
      <c r="S23" s="16" t="inlineStr">
        <is>
          <t>FLORIANOPOLIS-SC</t>
        </is>
      </c>
      <c r="T23" s="16" t="inlineStr"/>
      <c r="U23" s="16" t="inlineStr"/>
      <c r="V23" s="16" t="inlineStr"/>
      <c r="W23" s="16" t="inlineStr">
        <is>
          <t>Exclusivamente à vista (somente recursos próprios).</t>
        </is>
      </c>
      <c r="X23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23" s="16" t="inlineStr">
        <is>
          <t>Sob responsabilidade do comprador, quando o débito for inferior a 10% do valor de avaliação. A CAIXA paga integralmente quando o débito for superior a 10% do valor de avaliação.</t>
        </is>
      </c>
      <c r="Z23" s="16" t="inlineStr">
        <is>
          <t>NAO</t>
        </is>
      </c>
      <c r="AA23" s="16" t="inlineStr">
        <is>
          <t>NAO</t>
        </is>
      </c>
      <c r="AB23" s="16" t="inlineStr"/>
      <c r="AC23" s="16" t="inlineStr">
        <is>
          <t>https://venda-imoveis.caixa.gov.br/editais/matricula/SC/1444402998416.pdf</t>
        </is>
      </c>
      <c r="AD23" s="16" t="inlineStr">
        <is>
          <t>https://venda-imoveis.caixa.gov.br/sistema/detalhe-imovel.asp?hdnimovel=01444402998416</t>
        </is>
      </c>
    </row>
    <row r="24">
      <c r="A24" s="16" t="inlineStr">
        <is>
          <t>810110001631-4</t>
        </is>
      </c>
      <c r="B24" s="16" t="inlineStr">
        <is>
          <t>DESCARTADO</t>
        </is>
      </c>
      <c r="C24" s="16" t="inlineStr">
        <is>
          <t>fora_da_cidade;fora_do_bairro</t>
        </is>
      </c>
      <c r="D24" s="16" t="inlineStr">
        <is>
          <t>FLORIANOPOLIS</t>
        </is>
      </c>
      <c r="E24" s="16" t="inlineStr">
        <is>
          <t>CORREGO GRANDE</t>
        </is>
      </c>
      <c r="F24" s="16" t="inlineStr">
        <is>
          <t>RUA MAESTRO ALDO KRIEGER,N. 138 APTO. 102, BOX DE GARAGEM N° 17, CORREGO GRANDE - CEP: 88037-500, FLORIANOPOLIS - SANTA CATARINA</t>
        </is>
      </c>
      <c r="G24" s="16" t="inlineStr">
        <is>
          <t>Apartamento</t>
        </is>
      </c>
      <c r="H24" s="16" t="inlineStr">
        <is>
          <t>3</t>
        </is>
      </c>
      <c r="I24" s="16" t="inlineStr">
        <is>
          <t>1</t>
        </is>
      </c>
      <c r="J24" s="17" t="n">
        <v>0</v>
      </c>
      <c r="K24" s="17" t="n">
        <v>83.47</v>
      </c>
      <c r="L24" s="18" t="n">
        <v>800000</v>
      </c>
      <c r="M24" s="18" t="n">
        <v>800000</v>
      </c>
      <c r="N24" s="18" t="n">
        <v>480000</v>
      </c>
      <c r="O24" s="19" t="n">
        <v>0.4</v>
      </c>
      <c r="P24" s="16" t="inlineStr">
        <is>
          <t>Ocupado</t>
        </is>
      </c>
      <c r="Q24" s="16" t="inlineStr">
        <is>
          <t>Leilão SFI</t>
        </is>
      </c>
      <c r="R24" s="16" t="inlineStr">
        <is>
          <t>38298, 38299</t>
        </is>
      </c>
      <c r="S24" s="16" t="inlineStr">
        <is>
          <t>FLORIANOPOLIS-SC</t>
        </is>
      </c>
      <c r="T24" s="16" t="inlineStr">
        <is>
          <t>30/11/2026 / 04/12/2026</t>
        </is>
      </c>
      <c r="U24" s="16" t="inlineStr">
        <is>
          <t>JONAS GABRIEL ANTUNES MOREIRA</t>
        </is>
      </c>
      <c r="V24" s="16" t="inlineStr">
        <is>
          <t>www.mgl.com.br</t>
        </is>
      </c>
      <c r="W24" s="16" t="inlineStr">
        <is>
          <t>Recursos próprios. Permite financiamento - somente SBPE. Consulte condições antes de efetuar a proposta.</t>
        </is>
      </c>
      <c r="X24" s="16" t="inlineStr">
        <is>
          <t>Sob responsabilidade do comprador.</t>
        </is>
      </c>
      <c r="Y24" s="16" t="inlineStr">
        <is>
          <t>Sob responsabilidade do comprador.</t>
        </is>
      </c>
      <c r="Z24" s="16" t="inlineStr">
        <is>
          <t>NAO</t>
        </is>
      </c>
      <c r="AA24" s="16" t="inlineStr">
        <is>
          <t>SIM</t>
        </is>
      </c>
      <c r="AB24" s="16" t="inlineStr">
        <is>
          <t>https://venda-imoveis.caixa.gov.br/editais/EL00520226CPARE.PDF</t>
        </is>
      </c>
      <c r="AC24" s="16" t="inlineStr">
        <is>
          <t>https://venda-imoveis.caixa.gov.br/editais/matricula/SC/8101100016314.pdf</t>
        </is>
      </c>
      <c r="AD24" s="16" t="inlineStr">
        <is>
          <t>https://venda-imoveis.caixa.gov.br/sistema/detalhe-imovel.asp?hdnimovel=08101100016314</t>
        </is>
      </c>
    </row>
  </sheetData>
  <autoFilter ref="A4:AD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79 anúncios. Levantado em 23/09/2026 (15 DIAS — levantamento vencido; a fonte de anuncios respondeu com bloqueio e o R$/m2 segue congelado nessa data).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condominio</t>
        </is>
      </c>
      <c r="G4" s="15" t="inlineStr">
        <is>
          <t>anunciante</t>
        </is>
      </c>
      <c r="H4" s="15" t="inlineStr">
        <is>
          <t>url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52</v>
      </c>
      <c r="E5" s="18" t="n">
        <v>275000</v>
      </c>
      <c r="F5" s="16" t="inlineStr">
        <is>
          <t>300.0</t>
        </is>
      </c>
      <c r="G5" s="16" t="inlineStr">
        <is>
          <t>Marcelo Paim Corretor</t>
        </is>
      </c>
      <c r="H5" s="16" t="inlineStr">
        <is>
          <t>https://www.imoveis-sc.com.br/palhoca/comprar/apartamento/bela-vista/apartamento-a-venda-com-2-quartos-52m2-no-bela-vista-palhoca-9697019.html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50</v>
      </c>
      <c r="E6" s="18" t="n">
        <v>240000</v>
      </c>
      <c r="F6" s="16" t="inlineStr">
        <is>
          <t>325.0</t>
        </is>
      </c>
      <c r="G6" s="16" t="inlineStr">
        <is>
          <t>Marcelo Paim Corretor</t>
        </is>
      </c>
      <c r="H6" s="16" t="inlineStr">
        <is>
          <t>https://www.imoveis-sc.com.br/palhoca/comprar/apartamento/bela-vista/apartamento-a-venda-com-2-quartos-50m2-no-bela-vista-palhoca-9635415.html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44.49</v>
      </c>
      <c r="E7" s="18" t="n">
        <v>245000</v>
      </c>
      <c r="F7" s="16" t="inlineStr">
        <is>
          <t>450.0</t>
        </is>
      </c>
      <c r="G7" s="16" t="inlineStr">
        <is>
          <t>Crédito Real Village</t>
        </is>
      </c>
      <c r="H7" s="16" t="inlineStr">
        <is>
          <t>https://www.imoveis-sc.com.br/palhoca/comprar/apartamento/bela-vista/apartamento-a-venda-com-2-quartos-no-bela-vista-palhoca-8718653.html</t>
        </is>
      </c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48</v>
      </c>
      <c r="E8" s="18" t="n">
        <v>286500</v>
      </c>
      <c r="F8" s="16" t="inlineStr">
        <is>
          <t>399.0</t>
        </is>
      </c>
      <c r="G8" s="16" t="inlineStr">
        <is>
          <t>Crédito Real Pedra Branca</t>
        </is>
      </c>
      <c r="H8" s="16" t="inlineStr">
        <is>
          <t>https://www.imoveis-sc.com.br/palhoca/comprar/apartamento/bela-vista/apartamento-a-venda-com-2-quartos-48m2-no-bela-vista-palhoca-9086637.html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47.8</v>
      </c>
      <c r="E9" s="18" t="n">
        <v>318000</v>
      </c>
      <c r="F9" s="16" t="inlineStr"/>
      <c r="G9" s="16" t="inlineStr">
        <is>
          <t>Crédito Real Imob48</t>
        </is>
      </c>
      <c r="H9" s="16" t="inlineStr">
        <is>
          <t>https://www.imoveis-sc.com.br/palhoca/comprar/apartamento/bela-vista/apartamento-a-venda-com-2-quartos-no-bela-vista-palhoca-8717235.html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47.21</v>
      </c>
      <c r="E10" s="18" t="n">
        <v>270000</v>
      </c>
      <c r="F10" s="16" t="inlineStr"/>
      <c r="G10" s="16" t="inlineStr">
        <is>
          <t>Crédito Real Imob48</t>
        </is>
      </c>
      <c r="H10" s="16" t="inlineStr">
        <is>
          <t>https://www.imoveis-sc.com.br/palhoca/comprar/apartamento/bela-vista/apartamento-a-venda-com-2-quartos-no-bela-vista-palhoca-8717209.html</t>
        </is>
      </c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45.75</v>
      </c>
      <c r="E11" s="18" t="n">
        <v>290000</v>
      </c>
      <c r="F11" s="16" t="inlineStr">
        <is>
          <t>311.0</t>
        </is>
      </c>
      <c r="G11" s="16" t="inlineStr">
        <is>
          <t>Crédito Real Grande Floripa</t>
        </is>
      </c>
      <c r="H11" s="16" t="inlineStr">
        <is>
          <t>https://www.imoveis-sc.com.br/palhoca/comprar/apartamento/bela-vista/apartamento-a-venda-com-2-quartos-no-bela-vista-palhoca-8716165.html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56</v>
      </c>
      <c r="E12" s="18" t="n">
        <v>325000</v>
      </c>
      <c r="F12" s="16" t="inlineStr"/>
      <c r="G12" s="16" t="inlineStr">
        <is>
          <t>Crédito Real Grande Floripa</t>
        </is>
      </c>
      <c r="H12" s="16" t="inlineStr">
        <is>
          <t>https://www.imoveis-sc.com.br/palhoca/comprar/apartamento/bela-vista/apartamento-a-venda-com-2-quartos-no-bela-vista-palhoca-8716218.html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43.8</v>
      </c>
      <c r="E13" s="18" t="n">
        <v>259000</v>
      </c>
      <c r="F13" s="16" t="inlineStr">
        <is>
          <t>500.0</t>
        </is>
      </c>
      <c r="G13" s="16" t="inlineStr">
        <is>
          <t>Crédito Real Costa Sul</t>
        </is>
      </c>
      <c r="H13" s="16" t="inlineStr">
        <is>
          <t>https://www.imoveis-sc.com.br/palhoca/comprar/apartamento/bela-vista/apartamento-a-venda-com-2-quartos-no-bela-vista-palhoca-8656924.html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2</t>
        </is>
      </c>
      <c r="D14" s="17" t="n">
        <v>59.04</v>
      </c>
      <c r="E14" s="18" t="n">
        <v>350000</v>
      </c>
      <c r="F14" s="16" t="inlineStr">
        <is>
          <t>384.0</t>
        </is>
      </c>
      <c r="G14" s="16" t="inlineStr">
        <is>
          <t>Crédito Real Iflex</t>
        </is>
      </c>
      <c r="H14" s="16" t="inlineStr">
        <is>
          <t>https://www.imoveis-sc.com.br/palhoca/comprar/apartamento/bela-vista/apartamento-a-venda-com-2-quartos-no-bela-vista-palhoca-8539046.html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46</v>
      </c>
      <c r="E15" s="18" t="n">
        <v>230000</v>
      </c>
      <c r="F15" s="16" t="inlineStr">
        <is>
          <t>325.0</t>
        </is>
      </c>
      <c r="G15" s="16" t="inlineStr">
        <is>
          <t>Crédito Real Continente</t>
        </is>
      </c>
      <c r="H15" s="16" t="inlineStr">
        <is>
          <t>https://www.imoveis-sc.com.br/palhoca/comprar/apartamento/bela-vista/apartamento-a-venda-com-2-quartos-no-bela-vista-palhoca-8655868.html</t>
        </is>
      </c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52</v>
      </c>
      <c r="E16" s="18" t="n">
        <v>350000</v>
      </c>
      <c r="F16" s="16" t="inlineStr">
        <is>
          <t>450.0</t>
        </is>
      </c>
      <c r="G16" s="16" t="inlineStr">
        <is>
          <t>Crédito Real Imob48</t>
        </is>
      </c>
      <c r="H16" s="16" t="inlineStr">
        <is>
          <t>https://www.imoveis-sc.com.br/palhoca/comprar/apartamento/bela-vista/apartamento-a-venda-com-2-quartos-60m2-no-bela-vista-palhoca-9021286.html</t>
        </is>
      </c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45.61</v>
      </c>
      <c r="E17" s="18" t="n">
        <v>260000</v>
      </c>
      <c r="F17" s="16" t="inlineStr">
        <is>
          <t>315.0</t>
        </is>
      </c>
      <c r="G17" s="16" t="inlineStr">
        <is>
          <t>Crédito Real Imob48</t>
        </is>
      </c>
      <c r="H17" s="16" t="inlineStr">
        <is>
          <t>https://www.imoveis-sc.com.br/palhoca/comprar/apartamento/bela-vista/apartamento-a-venda-com-2-quartos-no-bela-vista-palhoca-8875918.html</t>
        </is>
      </c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45.59</v>
      </c>
      <c r="E18" s="18" t="n">
        <v>335000</v>
      </c>
      <c r="F18" s="16" t="inlineStr">
        <is>
          <t>400.0</t>
        </is>
      </c>
      <c r="G18" s="16" t="inlineStr">
        <is>
          <t>Crédito Real Dorea</t>
        </is>
      </c>
      <c r="H18" s="16" t="inlineStr">
        <is>
          <t>https://www.imoveis-sc.com.br/palhoca/comprar/apartamento/bela-vista/apartamento-a-venda-com-2-quartos-no-bela-vista-palhoca-8656723.html</t>
        </is>
      </c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43</v>
      </c>
      <c r="E19" s="18" t="n">
        <v>256000</v>
      </c>
      <c r="F19" s="16" t="inlineStr"/>
      <c r="G19" s="16" t="inlineStr">
        <is>
          <t>Crédito Real Biguaçu</t>
        </is>
      </c>
      <c r="H19" s="16" t="inlineStr">
        <is>
          <t>https://www.imoveis-sc.com.br/palhoca/comprar/apartamento/bela-vista/apartamento-a-venda-com-2-quartos-no-bela-vista-palhoca-8656242.html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50</v>
      </c>
      <c r="E20" s="18" t="n">
        <v>340000</v>
      </c>
      <c r="F20" s="16" t="inlineStr">
        <is>
          <t>350.0</t>
        </is>
      </c>
      <c r="G20" s="16" t="inlineStr">
        <is>
          <t>Crédito Real Iflex</t>
        </is>
      </c>
      <c r="H20" s="16" t="inlineStr">
        <is>
          <t>https://www.imoveis-sc.com.br/palhoca/comprar/apartamento/bela-vista/apartamento-a-venda-com-2-quartos-no-bela-vista-palhoca-8538546.html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54.03</v>
      </c>
      <c r="E21" s="18" t="n">
        <v>275000</v>
      </c>
      <c r="F21" s="16" t="inlineStr"/>
      <c r="G21" s="16" t="inlineStr">
        <is>
          <t>Crédito Real Imob48</t>
        </is>
      </c>
      <c r="H21" s="16" t="inlineStr">
        <is>
          <t>https://www.imoveis-sc.com.br/palhoca/comprar/apartamento/bela-vista/apartamento-a-venda-com-2-quartos-no-bela-vista-palhoca-8717239.html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53</v>
      </c>
      <c r="E22" s="18" t="n">
        <v>245000</v>
      </c>
      <c r="F22" s="16" t="inlineStr">
        <is>
          <t>300.0</t>
        </is>
      </c>
      <c r="G22" s="16" t="inlineStr">
        <is>
          <t>Auxiliadora Predial - Florianópolis - Lagoa da Conceição</t>
        </is>
      </c>
      <c r="H22" s="16" t="inlineStr">
        <is>
          <t>https://www.imoveis-sc.com.br/palhoca/comprar/apartamento/bela-vista/apartamento-a-venda-com-2-quartos-no-bela-vista-palhoca-1464711.html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260000</v>
      </c>
      <c r="F23" s="16" t="inlineStr">
        <is>
          <t>311.0</t>
        </is>
      </c>
      <c r="G23" s="16" t="inlineStr">
        <is>
          <t>Auxiliadora Predial - Florianópolis Pedra Branca</t>
        </is>
      </c>
      <c r="H23" s="16" t="inlineStr">
        <is>
          <t>https://www.imoveis-sc.com.br/palhoca/comprar/apartamento/bela-vista/apartamento-a-venda-com-2-quartos-no-bela-vista-palhoca-1475338.html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44</v>
      </c>
      <c r="E24" s="18" t="n">
        <v>259000</v>
      </c>
      <c r="F24" s="16" t="inlineStr">
        <is>
          <t>350.0</t>
        </is>
      </c>
      <c r="G24" s="16" t="inlineStr">
        <is>
          <t>Auxiliadora Predial - Florianópolis - São José e Campinas</t>
        </is>
      </c>
      <c r="H24" s="16" t="inlineStr">
        <is>
          <t>https://www.imoveis-sc.com.br/palhoca/comprar/apartamento/bela-vista/apartamento-a-venda-com-2-quartos-no-bela-vista-palhoca-1488303.html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48.74</v>
      </c>
      <c r="E25" s="18" t="n">
        <v>278000</v>
      </c>
      <c r="F25" s="16" t="inlineStr">
        <is>
          <t>445.0</t>
        </is>
      </c>
      <c r="G25" s="16" t="inlineStr">
        <is>
          <t>Auxiliadora Predial - Florianópolis Pedra Branca</t>
        </is>
      </c>
      <c r="H25" s="16" t="inlineStr">
        <is>
          <t>https://www.imoveis-sc.com.br/palhoca/comprar/apartamento/bela-vista/apartamento-a-venda-com-2-quartos-no-bela-vista-palhoca-1461812.html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53</v>
      </c>
      <c r="E26" s="18" t="n">
        <v>285000</v>
      </c>
      <c r="F26" s="16" t="inlineStr">
        <is>
          <t>479.0</t>
        </is>
      </c>
      <c r="G26" s="16" t="inlineStr">
        <is>
          <t>Auxiliadora Predial - Florianópolis - São José e Campinas</t>
        </is>
      </c>
      <c r="H26" s="16" t="inlineStr">
        <is>
          <t>https://www.imoveis-sc.com.br/palhoca/comprar/apartamento/bela-vista/apartamento-a-venda-com-2-quartos-no-bela-vista-palhoca-4652541.html</t>
        </is>
      </c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62</v>
      </c>
      <c r="E27" s="18" t="n">
        <v>350000</v>
      </c>
      <c r="F27" s="16" t="inlineStr">
        <is>
          <t>530.0</t>
        </is>
      </c>
      <c r="G27" s="16" t="inlineStr">
        <is>
          <t>Auxiliadora Predial - Pinheira</t>
        </is>
      </c>
      <c r="H27" s="16" t="inlineStr">
        <is>
          <t>https://www.imoveis-sc.com.br/palhoca/comprar/apartamento/bela-vista/apartamento-a-venda-com-2-quartos-no-bela-vista-palhoca-1466475.html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61</v>
      </c>
      <c r="E28" s="18" t="n">
        <v>270000</v>
      </c>
      <c r="F28" s="16" t="inlineStr">
        <is>
          <t>400.0</t>
        </is>
      </c>
      <c r="G28" s="16" t="inlineStr">
        <is>
          <t>Qualité Imóveis Exclusivos</t>
        </is>
      </c>
      <c r="H28" s="16" t="inlineStr">
        <is>
          <t>https://www.imoveis-sc.com.br/palhoca/comprar/apartamento/bela-vista/apartamento-a-venda-com-2-quartos-no-bela-vista-palhoca-3007920.html</t>
        </is>
      </c>
    </row>
    <row r="29">
      <c r="A29" s="16" t="inlineStr">
        <is>
          <t>venda_apto</t>
        </is>
      </c>
      <c r="B29" s="16" t="inlineStr">
        <is>
          <t>Apartamento</t>
        </is>
      </c>
      <c r="C29" s="16" t="inlineStr">
        <is>
          <t>2</t>
        </is>
      </c>
      <c r="D29" s="17" t="n">
        <v>53</v>
      </c>
      <c r="E29" s="18" t="n">
        <v>265000</v>
      </c>
      <c r="F29" s="16" t="inlineStr">
        <is>
          <t>446.0</t>
        </is>
      </c>
      <c r="G29" s="16" t="inlineStr">
        <is>
          <t>Auxiliadora Predial - Florianópolis Centro Histórico</t>
        </is>
      </c>
      <c r="H29" s="16" t="inlineStr">
        <is>
          <t>https://www.imoveis-sc.com.br/palhoca/comprar/apartamento/bela-vista/apartamento-a-venda-com-2-quartos-no-bela-vista-palhoca-1394244.html</t>
        </is>
      </c>
    </row>
    <row r="30">
      <c r="A30" s="16" t="inlineStr">
        <is>
          <t>venda_apto</t>
        </is>
      </c>
      <c r="B30" s="16" t="inlineStr">
        <is>
          <t>Apartamento</t>
        </is>
      </c>
      <c r="C30" s="16" t="inlineStr">
        <is>
          <t>2</t>
        </is>
      </c>
      <c r="D30" s="17" t="n">
        <v>43.3</v>
      </c>
      <c r="E30" s="18" t="n">
        <v>285000</v>
      </c>
      <c r="F30" s="16" t="inlineStr">
        <is>
          <t>445.0</t>
        </is>
      </c>
      <c r="G30" s="16" t="inlineStr">
        <is>
          <t>Auxiliadora Predial - Florianópolis - Sul da Ilha</t>
        </is>
      </c>
      <c r="H30" s="16" t="inlineStr">
        <is>
          <t>https://www.imoveis-sc.com.br/palhoca/comprar/apartamento/bela-vista/apartamento-a-venda-com-2-quartos-no-bela-vista-palhoca-4159747.html</t>
        </is>
      </c>
    </row>
    <row r="31">
      <c r="A31" s="16" t="inlineStr">
        <is>
          <t>venda_casa</t>
        </is>
      </c>
      <c r="B31" s="16" t="inlineStr">
        <is>
          <t>Casa</t>
        </is>
      </c>
      <c r="C31" s="16" t="inlineStr">
        <is>
          <t>2</t>
        </is>
      </c>
      <c r="D31" s="17" t="n">
        <v>0</v>
      </c>
      <c r="E31" s="18" t="n">
        <v>339200</v>
      </c>
      <c r="F31" s="16" t="inlineStr"/>
      <c r="G31" s="16" t="inlineStr">
        <is>
          <t>Crédito Real Biguaçu</t>
        </is>
      </c>
      <c r="H31" s="16" t="inlineStr">
        <is>
          <t>https://www.imoveis-sc.com.br/palhoca/comprar/casa/bela-vista/casa-a-venda-com-2-quartos-48m2-no-bela-vista-palhoca-9595576.html</t>
        </is>
      </c>
    </row>
    <row r="32">
      <c r="A32" s="16" t="inlineStr">
        <is>
          <t>venda_casa</t>
        </is>
      </c>
      <c r="B32" s="16" t="inlineStr">
        <is>
          <t>Casa</t>
        </is>
      </c>
      <c r="C32" s="16" t="inlineStr">
        <is>
          <t>2</t>
        </is>
      </c>
      <c r="D32" s="17" t="n">
        <v>0</v>
      </c>
      <c r="E32" s="18" t="n">
        <v>365000</v>
      </c>
      <c r="F32" s="16" t="inlineStr"/>
      <c r="G32" s="16" t="inlineStr">
        <is>
          <t>Crédito Real Imob48</t>
        </is>
      </c>
      <c r="H32" s="16" t="inlineStr">
        <is>
          <t>https://www.imoveis-sc.com.br/palhoca/comprar/casa/bela-vista/casa-a-venda-com-2-quartos-50m2-no-bela-vista-palhoca-9319927.html</t>
        </is>
      </c>
    </row>
    <row r="33">
      <c r="A33" s="16" t="inlineStr">
        <is>
          <t>venda_casa</t>
        </is>
      </c>
      <c r="B33" s="16" t="inlineStr">
        <is>
          <t>Casa</t>
        </is>
      </c>
      <c r="C33" s="16" t="inlineStr">
        <is>
          <t>2</t>
        </is>
      </c>
      <c r="D33" s="17" t="n">
        <v>0</v>
      </c>
      <c r="E33" s="18" t="n">
        <v>451579</v>
      </c>
      <c r="F33" s="16" t="inlineStr"/>
      <c r="G33" s="16" t="inlineStr">
        <is>
          <t>INVESTIMENTO IMOBILIÁRIO</t>
        </is>
      </c>
      <c r="H33" s="16" t="inlineStr">
        <is>
          <t>https://www.imoveis-sc.com.br/palhoca/comprar/casa/bela-vista/casa-a-venda-com-2-quartos-76m2-no-bela-vista-palhoca-9540507.html</t>
        </is>
      </c>
    </row>
    <row r="34">
      <c r="A34" s="16" t="inlineStr">
        <is>
          <t>venda_casa</t>
        </is>
      </c>
      <c r="B34" s="16" t="inlineStr">
        <is>
          <t>Casa</t>
        </is>
      </c>
      <c r="C34" s="16" t="inlineStr">
        <is>
          <t>3</t>
        </is>
      </c>
      <c r="D34" s="17" t="n">
        <v>0</v>
      </c>
      <c r="E34" s="18" t="n">
        <v>820000</v>
      </c>
      <c r="F34" s="16" t="inlineStr"/>
      <c r="G34" s="16" t="inlineStr">
        <is>
          <t>Crédito Real Grande Floripa</t>
        </is>
      </c>
      <c r="H34" s="16" t="inlineStr">
        <is>
          <t>https://www.imoveis-sc.com.br/palhoca/comprar/casa/bela-vista/casa-a-venda-com-3-quartos-no-bela-vista-palhoca-8716501.html</t>
        </is>
      </c>
    </row>
    <row r="35">
      <c r="A35" s="16" t="inlineStr">
        <is>
          <t>venda_casa</t>
        </is>
      </c>
      <c r="B35" s="16" t="inlineStr">
        <is>
          <t>Casa</t>
        </is>
      </c>
      <c r="C35" s="16" t="inlineStr">
        <is>
          <t>2</t>
        </is>
      </c>
      <c r="D35" s="17" t="n">
        <v>0</v>
      </c>
      <c r="E35" s="18" t="n">
        <v>492000</v>
      </c>
      <c r="F35" s="16" t="inlineStr"/>
      <c r="G35" s="16" t="inlineStr">
        <is>
          <t>Crédito Real Grande Floripa</t>
        </is>
      </c>
      <c r="H35" s="16" t="inlineStr">
        <is>
          <t>https://www.imoveis-sc.com.br/palhoca/comprar/casa/bela-vista/casa-a-venda-com-2-quartos-no-bela-vista-palhoca-8716429.html</t>
        </is>
      </c>
    </row>
    <row r="36">
      <c r="A36" s="16" t="inlineStr">
        <is>
          <t>venda_casa</t>
        </is>
      </c>
      <c r="B36" s="16" t="inlineStr">
        <is>
          <t>Casa</t>
        </is>
      </c>
      <c r="C36" s="16" t="inlineStr">
        <is>
          <t>2</t>
        </is>
      </c>
      <c r="D36" s="17" t="n">
        <v>0</v>
      </c>
      <c r="E36" s="18" t="n">
        <v>360400</v>
      </c>
      <c r="F36" s="16" t="inlineStr"/>
      <c r="G36" s="16" t="inlineStr">
        <is>
          <t>Crédito Real Imob48</t>
        </is>
      </c>
      <c r="H36" s="16" t="inlineStr">
        <is>
          <t>https://www.imoveis-sc.com.br/palhoca/comprar/casa/bela-vista/casa-a-venda-com-2-quartos-no-bela-vista-palhoca-8121103.html</t>
        </is>
      </c>
    </row>
    <row r="37">
      <c r="A37" s="16" t="inlineStr">
        <is>
          <t>venda_casa</t>
        </is>
      </c>
      <c r="B37" s="16" t="inlineStr">
        <is>
          <t>Casa</t>
        </is>
      </c>
      <c r="C37" s="16" t="inlineStr">
        <is>
          <t>2</t>
        </is>
      </c>
      <c r="D37" s="17" t="n">
        <v>0</v>
      </c>
      <c r="E37" s="18" t="n">
        <v>370000</v>
      </c>
      <c r="F37" s="16" t="inlineStr"/>
      <c r="G37" s="16" t="inlineStr">
        <is>
          <t>Crédito Real Imob48</t>
        </is>
      </c>
      <c r="H37" s="16" t="inlineStr">
        <is>
          <t>https://www.imoveis-sc.com.br/palhoca/comprar/casa/bela-vista/casa-a-venda-com-2-quartos-no-bela-vista-palhoca-8717322.html</t>
        </is>
      </c>
    </row>
    <row r="38">
      <c r="A38" s="16" t="inlineStr">
        <is>
          <t>venda_casa</t>
        </is>
      </c>
      <c r="B38" s="16" t="inlineStr">
        <is>
          <t>Casa</t>
        </is>
      </c>
      <c r="C38" s="16" t="inlineStr">
        <is>
          <t>2</t>
        </is>
      </c>
      <c r="D38" s="17" t="n">
        <v>0</v>
      </c>
      <c r="E38" s="18" t="n">
        <v>470000</v>
      </c>
      <c r="F38" s="16" t="inlineStr"/>
      <c r="G38" s="16" t="inlineStr">
        <is>
          <t>Crédito Real Biguaçu</t>
        </is>
      </c>
      <c r="H38" s="16" t="inlineStr">
        <is>
          <t>https://www.imoveis-sc.com.br/palhoca/comprar/casa/bela-vista/casa-a-venda-com-2-quartos-no-bela-vista-palhoca-8656157.html</t>
        </is>
      </c>
    </row>
    <row r="39">
      <c r="A39" s="16" t="inlineStr">
        <is>
          <t>venda_casa</t>
        </is>
      </c>
      <c r="B39" s="16" t="inlineStr">
        <is>
          <t>Casa</t>
        </is>
      </c>
      <c r="C39" s="16" t="inlineStr">
        <is>
          <t>2</t>
        </is>
      </c>
      <c r="D39" s="17" t="n">
        <v>0</v>
      </c>
      <c r="E39" s="18" t="n">
        <v>500000</v>
      </c>
      <c r="F39" s="16" t="inlineStr"/>
      <c r="G39" s="16" t="inlineStr">
        <is>
          <t>Crédito Real Grande Floripa</t>
        </is>
      </c>
      <c r="H39" s="16" t="inlineStr">
        <is>
          <t>https://www.imoveis-sc.com.br/palhoca/comprar/casa/bela-vista/casa-a-venda-com-2-quartos-no-bela-vista-palhoca-8716062.html</t>
        </is>
      </c>
    </row>
    <row r="40">
      <c r="A40" s="16" t="inlineStr">
        <is>
          <t>venda_casa</t>
        </is>
      </c>
      <c r="B40" s="16" t="inlineStr">
        <is>
          <t>Casa</t>
        </is>
      </c>
      <c r="C40" s="16" t="inlineStr">
        <is>
          <t>3</t>
        </is>
      </c>
      <c r="D40" s="17" t="n">
        <v>0</v>
      </c>
      <c r="E40" s="18" t="n">
        <v>580000</v>
      </c>
      <c r="F40" s="16" t="inlineStr"/>
      <c r="G40" s="16" t="inlineStr">
        <is>
          <t>Crédito Real Biguaçu</t>
        </is>
      </c>
      <c r="H40" s="16" t="inlineStr">
        <is>
          <t>https://www.imoveis-sc.com.br/palhoca/comprar/casa/bela-vista/casa-a-venda-com-3-quartos-no-bela-vista-palhoca-8656412.html</t>
        </is>
      </c>
    </row>
    <row r="41">
      <c r="A41" s="16" t="inlineStr">
        <is>
          <t>venda_casa</t>
        </is>
      </c>
      <c r="B41" s="16" t="inlineStr">
        <is>
          <t>Casa</t>
        </is>
      </c>
      <c r="C41" s="16" t="inlineStr">
        <is>
          <t>2</t>
        </is>
      </c>
      <c r="D41" s="17" t="n">
        <v>0</v>
      </c>
      <c r="E41" s="18" t="n">
        <v>550000</v>
      </c>
      <c r="F41" s="16" t="inlineStr"/>
      <c r="G41" s="16" t="inlineStr">
        <is>
          <t>Crédito Real Village</t>
        </is>
      </c>
      <c r="H41" s="16" t="inlineStr">
        <is>
          <t>https://www.imoveis-sc.com.br/palhoca/comprar/casa/bela-vista/casa-a-venda-com-2-quartos-no-bela-vista-palhoca-8718702.html</t>
        </is>
      </c>
    </row>
    <row r="42">
      <c r="A42" s="16" t="inlineStr">
        <is>
          <t>venda_casa</t>
        </is>
      </c>
      <c r="B42" s="16" t="inlineStr">
        <is>
          <t>Casa</t>
        </is>
      </c>
      <c r="C42" s="16" t="inlineStr">
        <is>
          <t>3</t>
        </is>
      </c>
      <c r="D42" s="17" t="n">
        <v>0</v>
      </c>
      <c r="E42" s="18" t="n">
        <v>630000</v>
      </c>
      <c r="F42" s="16" t="inlineStr"/>
      <c r="G42" s="16" t="inlineStr">
        <is>
          <t>Crédito Real Imob48</t>
        </is>
      </c>
      <c r="H42" s="16" t="inlineStr">
        <is>
          <t>https://www.imoveis-sc.com.br/palhoca/comprar/casa/bela-vista/casa-a-venda-com-3-quartos-no-bela-vista-palhoca-8717378.html</t>
        </is>
      </c>
    </row>
    <row r="43">
      <c r="A43" s="16" t="inlineStr">
        <is>
          <t>venda_casa</t>
        </is>
      </c>
      <c r="B43" s="16" t="inlineStr">
        <is>
          <t>Casa</t>
        </is>
      </c>
      <c r="C43" s="16" t="inlineStr">
        <is>
          <t>3</t>
        </is>
      </c>
      <c r="D43" s="17" t="n">
        <v>0</v>
      </c>
      <c r="E43" s="18" t="n">
        <v>750000</v>
      </c>
      <c r="F43" s="16" t="inlineStr"/>
      <c r="G43" s="16" t="inlineStr">
        <is>
          <t>Crédito Real Plano A</t>
        </is>
      </c>
      <c r="H43" s="16" t="inlineStr">
        <is>
          <t>https://www.imoveis-sc.com.br/palhoca/comprar/casa/bela-vista/casa-a-venda-com-3-quartos-no-bela-vista-palhoca-8718262.html</t>
        </is>
      </c>
    </row>
    <row r="44">
      <c r="A44" s="16" t="inlineStr">
        <is>
          <t>venda_casa</t>
        </is>
      </c>
      <c r="B44" s="16" t="inlineStr">
        <is>
          <t>Casa</t>
        </is>
      </c>
      <c r="C44" s="16" t="inlineStr">
        <is>
          <t>3</t>
        </is>
      </c>
      <c r="D44" s="17" t="n">
        <v>0</v>
      </c>
      <c r="E44" s="18" t="n">
        <v>780000</v>
      </c>
      <c r="F44" s="16" t="inlineStr"/>
      <c r="G44" s="16" t="inlineStr">
        <is>
          <t>Crédito Real Grande Floripa</t>
        </is>
      </c>
      <c r="H44" s="16" t="inlineStr">
        <is>
          <t>https://www.imoveis-sc.com.br/palhoca/comprar/casa/bela-vista/casa-a-venda-com-3-quartos-no-bela-vista-palhoca-8716470.html</t>
        </is>
      </c>
    </row>
    <row r="45">
      <c r="A45" s="16" t="inlineStr">
        <is>
          <t>venda_casa</t>
        </is>
      </c>
      <c r="B45" s="16" t="inlineStr">
        <is>
          <t>Casa</t>
        </is>
      </c>
      <c r="C45" s="16" t="inlineStr">
        <is>
          <t>3</t>
        </is>
      </c>
      <c r="D45" s="17" t="n">
        <v>0</v>
      </c>
      <c r="E45" s="18" t="n">
        <v>840000</v>
      </c>
      <c r="F45" s="16" t="inlineStr"/>
      <c r="G45" s="16" t="inlineStr">
        <is>
          <t>Crédito Real Grande Floripa</t>
        </is>
      </c>
      <c r="H45" s="16" t="inlineStr">
        <is>
          <t>https://www.imoveis-sc.com.br/palhoca/comprar/casa/bela-vista/casa-a-venda-com-3-quartos-no-bela-vista-palhoca-8716179.html</t>
        </is>
      </c>
    </row>
    <row r="46">
      <c r="A46" s="16" t="inlineStr">
        <is>
          <t>venda_casa</t>
        </is>
      </c>
      <c r="B46" s="16" t="inlineStr">
        <is>
          <t>Casa</t>
        </is>
      </c>
      <c r="C46" s="16" t="inlineStr">
        <is>
          <t>2</t>
        </is>
      </c>
      <c r="D46" s="17" t="n">
        <v>0</v>
      </c>
      <c r="E46" s="18" t="n">
        <v>450000</v>
      </c>
      <c r="F46" s="16" t="inlineStr"/>
      <c r="G46" s="16" t="inlineStr">
        <is>
          <t>Crédito Real Grande Floripa</t>
        </is>
      </c>
      <c r="H46" s="16" t="inlineStr">
        <is>
          <t>https://www.imoveis-sc.com.br/palhoca/comprar/casa/bela-vista/casa-a-venda-com-2-quartos-no-bela-vista-palhoca-8716128.html</t>
        </is>
      </c>
    </row>
    <row r="47">
      <c r="A47" s="16" t="inlineStr">
        <is>
          <t>venda_casa</t>
        </is>
      </c>
      <c r="B47" s="16" t="inlineStr">
        <is>
          <t>Casa</t>
        </is>
      </c>
      <c r="C47" s="16" t="inlineStr">
        <is>
          <t>2</t>
        </is>
      </c>
      <c r="D47" s="17" t="n">
        <v>0</v>
      </c>
      <c r="E47" s="18" t="n">
        <v>320000</v>
      </c>
      <c r="F47" s="16" t="inlineStr"/>
      <c r="G47" s="16" t="inlineStr">
        <is>
          <t>Crédito Real Grande Floripa</t>
        </is>
      </c>
      <c r="H47" s="16" t="inlineStr">
        <is>
          <t>https://www.imoveis-sc.com.br/palhoca/comprar/casa/bela-vista/casa-a-venda-com-2-quartos-no-bela-vista-palhoca-8716418.html</t>
        </is>
      </c>
    </row>
    <row r="48">
      <c r="A48" s="16" t="inlineStr">
        <is>
          <t>venda_casa</t>
        </is>
      </c>
      <c r="B48" s="16" t="inlineStr">
        <is>
          <t>Casa</t>
        </is>
      </c>
      <c r="C48" s="16" t="inlineStr">
        <is>
          <t>2</t>
        </is>
      </c>
      <c r="D48" s="17" t="n">
        <v>0</v>
      </c>
      <c r="E48" s="18" t="n">
        <v>415000</v>
      </c>
      <c r="F48" s="16" t="inlineStr"/>
      <c r="G48" s="16" t="inlineStr">
        <is>
          <t>Crédito Real Grande Floripa</t>
        </is>
      </c>
      <c r="H48" s="16" t="inlineStr">
        <is>
          <t>https://www.imoveis-sc.com.br/palhoca/comprar/casa/bela-vista/casa-a-venda-com-2-quartos-no-bela-vista-palhoca-8716264.html</t>
        </is>
      </c>
    </row>
    <row r="49">
      <c r="A49" s="16" t="inlineStr">
        <is>
          <t>venda_casa</t>
        </is>
      </c>
      <c r="B49" s="16" t="inlineStr">
        <is>
          <t>Casa</t>
        </is>
      </c>
      <c r="C49" s="16" t="inlineStr">
        <is>
          <t>2</t>
        </is>
      </c>
      <c r="D49" s="17" t="n">
        <v>0</v>
      </c>
      <c r="E49" s="18" t="n">
        <v>315880</v>
      </c>
      <c r="F49" s="16" t="inlineStr"/>
      <c r="G49" s="16" t="inlineStr">
        <is>
          <t>Crédito Real Grande Floripa</t>
        </is>
      </c>
      <c r="H49" s="16" t="inlineStr">
        <is>
          <t>https://www.imoveis-sc.com.br/palhoca/comprar/casa/bela-vista/casa-a-venda-com-2-quartos-no-bela-vista-palhoca-8716058.html</t>
        </is>
      </c>
    </row>
    <row r="50">
      <c r="A50" s="16" t="inlineStr">
        <is>
          <t>venda_casa</t>
        </is>
      </c>
      <c r="B50" s="16" t="inlineStr">
        <is>
          <t>Casa</t>
        </is>
      </c>
      <c r="C50" s="16" t="inlineStr">
        <is>
          <t>3</t>
        </is>
      </c>
      <c r="D50" s="17" t="n">
        <v>0</v>
      </c>
      <c r="E50" s="18" t="n">
        <v>630000</v>
      </c>
      <c r="F50" s="16" t="inlineStr"/>
      <c r="G50" s="16" t="inlineStr">
        <is>
          <t>Crédito Real Imob48</t>
        </is>
      </c>
      <c r="H50" s="16" t="inlineStr">
        <is>
          <t>https://www.imoveis-sc.com.br/palhoca/comprar/casa/bela-vista/casa-a-venda-com-3-quartos-no-bela-vista-palhoca-8717301.html</t>
        </is>
      </c>
    </row>
    <row r="51">
      <c r="A51" s="16" t="inlineStr">
        <is>
          <t>venda_casa</t>
        </is>
      </c>
      <c r="B51" s="16" t="inlineStr">
        <is>
          <t>Casa</t>
        </is>
      </c>
      <c r="C51" s="16" t="inlineStr">
        <is>
          <t>2</t>
        </is>
      </c>
      <c r="D51" s="17" t="n">
        <v>0</v>
      </c>
      <c r="E51" s="18" t="n">
        <v>410000</v>
      </c>
      <c r="F51" s="16" t="inlineStr"/>
      <c r="G51" s="16" t="inlineStr">
        <is>
          <t>Crédito Real Imob48</t>
        </is>
      </c>
      <c r="H51" s="16" t="inlineStr">
        <is>
          <t>https://www.imoveis-sc.com.br/palhoca/comprar/casa/bela-vista/casa-a-venda-com-2-quartos-no-bela-vista-palhoca-8717252.html</t>
        </is>
      </c>
    </row>
    <row r="52">
      <c r="A52" s="16" t="inlineStr">
        <is>
          <t>venda_casa</t>
        </is>
      </c>
      <c r="B52" s="16" t="inlineStr">
        <is>
          <t>Casa</t>
        </is>
      </c>
      <c r="C52" s="16" t="inlineStr">
        <is>
          <t>3</t>
        </is>
      </c>
      <c r="D52" s="17" t="n">
        <v>0</v>
      </c>
      <c r="E52" s="18" t="n">
        <v>587000</v>
      </c>
      <c r="F52" s="16" t="inlineStr"/>
      <c r="G52" s="16" t="inlineStr">
        <is>
          <t>Crédito Real Iflex</t>
        </is>
      </c>
      <c r="H52" s="16" t="inlineStr">
        <is>
          <t>https://www.imoveis-sc.com.br/palhoca/comprar/casa/bela-vista/casa-a-venda-com-3-quartos-no-bela-vista-palhoca-8539023.html</t>
        </is>
      </c>
    </row>
    <row r="53">
      <c r="A53" s="16" t="inlineStr">
        <is>
          <t>venda_casa</t>
        </is>
      </c>
      <c r="B53" s="16" t="inlineStr">
        <is>
          <t>Casa</t>
        </is>
      </c>
      <c r="C53" s="16" t="inlineStr">
        <is>
          <t>2</t>
        </is>
      </c>
      <c r="D53" s="17" t="n">
        <v>0</v>
      </c>
      <c r="E53" s="18" t="n">
        <v>380000</v>
      </c>
      <c r="F53" s="16" t="inlineStr"/>
      <c r="G53" s="16" t="inlineStr">
        <is>
          <t>Crédito Real Imob48</t>
        </is>
      </c>
      <c r="H53" s="16" t="inlineStr">
        <is>
          <t>https://www.imoveis-sc.com.br/palhoca/comprar/casa/bela-vista/casa-a-venda-com-2-quartos-no-bela-vista-palhoca-8717251.html</t>
        </is>
      </c>
    </row>
    <row r="54">
      <c r="A54" s="16" t="inlineStr">
        <is>
          <t>venda_casa</t>
        </is>
      </c>
      <c r="B54" s="16" t="inlineStr">
        <is>
          <t>Casa</t>
        </is>
      </c>
      <c r="C54" s="16" t="inlineStr">
        <is>
          <t>2</t>
        </is>
      </c>
      <c r="D54" s="17" t="n">
        <v>0</v>
      </c>
      <c r="E54" s="18" t="n">
        <v>370000</v>
      </c>
      <c r="F54" s="16" t="inlineStr"/>
      <c r="G54" s="16" t="inlineStr">
        <is>
          <t>Crédito Real Imob48</t>
        </is>
      </c>
      <c r="H54" s="16" t="inlineStr">
        <is>
          <t>https://www.imoveis-sc.com.br/palhoca/comprar/casa/bela-vista/casa-a-venda-com-2-quartos-no-bela-vista-palhoca-8717364.html</t>
        </is>
      </c>
    </row>
    <row r="55">
      <c r="A55" s="16" t="inlineStr">
        <is>
          <t>venda_casa</t>
        </is>
      </c>
      <c r="B55" s="16" t="inlineStr">
        <is>
          <t>Casa</t>
        </is>
      </c>
      <c r="C55" s="16" t="inlineStr">
        <is>
          <t>3</t>
        </is>
      </c>
      <c r="D55" s="17" t="n">
        <v>0</v>
      </c>
      <c r="E55" s="18" t="n">
        <v>420000</v>
      </c>
      <c r="F55" s="16" t="inlineStr"/>
      <c r="G55" s="16" t="inlineStr">
        <is>
          <t>Crédito Real Imob48</t>
        </is>
      </c>
      <c r="H55" s="16" t="inlineStr">
        <is>
          <t>https://www.imoveis-sc.com.br/palhoca/comprar/casa/bela-vista/casa-a-venda-com-3-quartos-no-bela-vista-palhoca-8717268.html</t>
        </is>
      </c>
    </row>
    <row r="56">
      <c r="A56" s="16" t="inlineStr">
        <is>
          <t>venda_casa</t>
        </is>
      </c>
      <c r="B56" s="16" t="inlineStr">
        <is>
          <t>Casa</t>
        </is>
      </c>
      <c r="C56" s="16" t="inlineStr">
        <is>
          <t>3</t>
        </is>
      </c>
      <c r="D56" s="17" t="n">
        <v>0</v>
      </c>
      <c r="E56" s="18" t="n">
        <v>620000</v>
      </c>
      <c r="F56" s="16" t="inlineStr"/>
      <c r="G56" s="16" t="inlineStr">
        <is>
          <t>Crédito Real Grande Floripa</t>
        </is>
      </c>
      <c r="H56" s="16" t="inlineStr">
        <is>
          <t>https://www.imoveis-sc.com.br/palhoca/comprar/casa/bela-vista/casa-a-venda-com-3-quartos-no-bela-vista-palhoca-8716406.html</t>
        </is>
      </c>
    </row>
    <row r="57">
      <c r="A57" s="16" t="inlineStr">
        <is>
          <t>venda_casa</t>
        </is>
      </c>
      <c r="B57" s="16" t="inlineStr">
        <is>
          <t>Casa</t>
        </is>
      </c>
      <c r="C57" s="16" t="inlineStr">
        <is>
          <t>3</t>
        </is>
      </c>
      <c r="D57" s="17" t="n">
        <v>0</v>
      </c>
      <c r="E57" s="18" t="n">
        <v>700000</v>
      </c>
      <c r="F57" s="16" t="inlineStr"/>
      <c r="G57" s="16" t="inlineStr">
        <is>
          <t>Crédito Real Grande Floripa</t>
        </is>
      </c>
      <c r="H57" s="16" t="inlineStr">
        <is>
          <t>https://www.imoveis-sc.com.br/palhoca/comprar/casa/bela-vista/casa-a-venda-com-3-quartos-no-bela-vista-palhoca-8716472.html</t>
        </is>
      </c>
    </row>
    <row r="58">
      <c r="A58" s="16" t="inlineStr">
        <is>
          <t>venda_casa</t>
        </is>
      </c>
      <c r="B58" s="16" t="inlineStr">
        <is>
          <t>Casa</t>
        </is>
      </c>
      <c r="C58" s="16" t="inlineStr">
        <is>
          <t>2</t>
        </is>
      </c>
      <c r="D58" s="17" t="n">
        <v>0</v>
      </c>
      <c r="E58" s="18" t="n">
        <v>395000</v>
      </c>
      <c r="F58" s="16" t="inlineStr"/>
      <c r="G58" s="16" t="inlineStr">
        <is>
          <t>Crédito Real Iflex</t>
        </is>
      </c>
      <c r="H58" s="16" t="inlineStr">
        <is>
          <t>https://www.imoveis-sc.com.br/palhoca/comprar/casa/bela-vista/casa-a-venda-com-2-quartos-no-bela-vista-palhoca-8538728.html</t>
        </is>
      </c>
    </row>
    <row r="59">
      <c r="A59" s="16" t="inlineStr">
        <is>
          <t>venda_casa</t>
        </is>
      </c>
      <c r="B59" s="16" t="inlineStr">
        <is>
          <t>Casa</t>
        </is>
      </c>
      <c r="C59" s="16" t="inlineStr">
        <is>
          <t>2</t>
        </is>
      </c>
      <c r="D59" s="17" t="n">
        <v>0</v>
      </c>
      <c r="E59" s="18" t="n">
        <v>480000</v>
      </c>
      <c r="F59" s="16" t="inlineStr"/>
      <c r="G59" s="16" t="inlineStr">
        <is>
          <t>Crédito Real Grande Floripa</t>
        </is>
      </c>
      <c r="H59" s="16" t="inlineStr">
        <is>
          <t>https://www.imoveis-sc.com.br/palhoca/comprar/casa/bela-vista/casa-a-venda-com-2-quartos-no-bela-vista-palhoca-8716037.html</t>
        </is>
      </c>
    </row>
    <row r="60">
      <c r="A60" s="16" t="inlineStr">
        <is>
          <t>venda_casa</t>
        </is>
      </c>
      <c r="B60" s="16" t="inlineStr">
        <is>
          <t>Casa</t>
        </is>
      </c>
      <c r="C60" s="16" t="inlineStr">
        <is>
          <t>3</t>
        </is>
      </c>
      <c r="D60" s="17" t="n">
        <v>0</v>
      </c>
      <c r="E60" s="18" t="n">
        <v>850000</v>
      </c>
      <c r="F60" s="16" t="inlineStr"/>
      <c r="G60" s="16" t="inlineStr">
        <is>
          <t>Crédito Real Pedra Branca</t>
        </is>
      </c>
      <c r="H60" s="16" t="inlineStr">
        <is>
          <t>https://www.imoveis-sc.com.br/palhoca/comprar/casa/bela-vista/casa-a-venda-com-3-quartos-99m2-no-bela-vista-palhoca-9086640.html</t>
        </is>
      </c>
    </row>
    <row r="61">
      <c r="A61" s="16" t="inlineStr">
        <is>
          <t>venda_casa</t>
        </is>
      </c>
      <c r="B61" s="16" t="inlineStr">
        <is>
          <t>Casa</t>
        </is>
      </c>
      <c r="C61" s="16" t="inlineStr">
        <is>
          <t>2</t>
        </is>
      </c>
      <c r="D61" s="17" t="n">
        <v>0</v>
      </c>
      <c r="E61" s="18" t="n">
        <v>350000</v>
      </c>
      <c r="F61" s="16" t="inlineStr"/>
      <c r="G61" s="16" t="inlineStr">
        <is>
          <t>Crédito Real Dorea</t>
        </is>
      </c>
      <c r="H61" s="16" t="inlineStr">
        <is>
          <t>https://www.imoveis-sc.com.br/palhoca/comprar/casa/bela-vista/casa-a-venda-com-2-quartos-no-bela-vista-palhoca-8656694.html</t>
        </is>
      </c>
    </row>
    <row r="62">
      <c r="A62" s="16" t="inlineStr">
        <is>
          <t>venda_casa</t>
        </is>
      </c>
      <c r="B62" s="16" t="inlineStr">
        <is>
          <t>Casa</t>
        </is>
      </c>
      <c r="C62" s="16" t="inlineStr">
        <is>
          <t>2</t>
        </is>
      </c>
      <c r="D62" s="17" t="n">
        <v>0</v>
      </c>
      <c r="E62" s="18" t="n">
        <v>479000</v>
      </c>
      <c r="F62" s="16" t="inlineStr"/>
      <c r="G62" s="16" t="inlineStr">
        <is>
          <t>Crédito Real Grande Floripa</t>
        </is>
      </c>
      <c r="H62" s="16" t="inlineStr">
        <is>
          <t>https://www.imoveis-sc.com.br/palhoca/comprar/casa/bela-vista/casa-a-venda-com-2-quartos-no-bela-vista-palhoca-8716511.html</t>
        </is>
      </c>
    </row>
    <row r="63">
      <c r="A63" s="16" t="inlineStr">
        <is>
          <t>venda_casa</t>
        </is>
      </c>
      <c r="B63" s="16" t="inlineStr">
        <is>
          <t>Casa</t>
        </is>
      </c>
      <c r="C63" s="16" t="inlineStr">
        <is>
          <t>3</t>
        </is>
      </c>
      <c r="D63" s="17" t="n">
        <v>0</v>
      </c>
      <c r="E63" s="18" t="n">
        <v>460000</v>
      </c>
      <c r="F63" s="16" t="inlineStr"/>
      <c r="G63" s="16" t="inlineStr">
        <is>
          <t>Crédito Real Imob48</t>
        </is>
      </c>
      <c r="H63" s="16" t="inlineStr">
        <is>
          <t>https://www.imoveis-sc.com.br/palhoca/comprar/casa/bela-vista/casa-a-venda-com-3-quartos-no-bela-vista-palhoca-8121117.html</t>
        </is>
      </c>
    </row>
    <row r="64">
      <c r="A64" s="16" t="inlineStr">
        <is>
          <t>venda_casa</t>
        </is>
      </c>
      <c r="B64" s="16" t="inlineStr">
        <is>
          <t>Casa</t>
        </is>
      </c>
      <c r="C64" s="16" t="inlineStr">
        <is>
          <t>2</t>
        </is>
      </c>
      <c r="D64" s="17" t="n">
        <v>0</v>
      </c>
      <c r="E64" s="18" t="n">
        <v>440000</v>
      </c>
      <c r="F64" s="16" t="inlineStr"/>
      <c r="G64" s="16" t="inlineStr">
        <is>
          <t>Crédito Real Costa Sul</t>
        </is>
      </c>
      <c r="H64" s="16" t="inlineStr">
        <is>
          <t>https://www.imoveis-sc.com.br/palhoca/comprar/casa/bela-vista/casa-a-venda-com-2-quartos-no-bela-vista-palhoca-8656980.html</t>
        </is>
      </c>
    </row>
    <row r="65">
      <c r="A65" s="16" t="inlineStr">
        <is>
          <t>venda_casa</t>
        </is>
      </c>
      <c r="B65" s="16" t="inlineStr">
        <is>
          <t>Casa</t>
        </is>
      </c>
      <c r="C65" s="16" t="inlineStr">
        <is>
          <t>3</t>
        </is>
      </c>
      <c r="D65" s="17" t="n">
        <v>0</v>
      </c>
      <c r="E65" s="18" t="n">
        <v>635000</v>
      </c>
      <c r="F65" s="16" t="inlineStr"/>
      <c r="G65" s="16" t="inlineStr">
        <is>
          <t>Crédito Real Imob48</t>
        </is>
      </c>
      <c r="H65" s="16" t="inlineStr">
        <is>
          <t>https://www.imoveis-sc.com.br/palhoca/comprar/casa/bela-vista/casa-a-venda-com-3-quartos-no-bela-vista-palhoca-8717287.html</t>
        </is>
      </c>
    </row>
    <row r="66">
      <c r="A66" s="16" t="inlineStr">
        <is>
          <t>venda_casa</t>
        </is>
      </c>
      <c r="B66" s="16" t="inlineStr">
        <is>
          <t>Casa</t>
        </is>
      </c>
      <c r="C66" s="16" t="inlineStr">
        <is>
          <t>3</t>
        </is>
      </c>
      <c r="D66" s="17" t="n">
        <v>0</v>
      </c>
      <c r="E66" s="18" t="n">
        <v>670000</v>
      </c>
      <c r="F66" s="16" t="inlineStr"/>
      <c r="G66" s="16" t="inlineStr">
        <is>
          <t>Auxiliadora Predial - Florianópolis Pedra Branca</t>
        </is>
      </c>
      <c r="H66" s="16" t="inlineStr">
        <is>
          <t>https://www.imoveis-sc.com.br/palhoca/comprar/casa/bela-vista/casa-a-venda-com-3-quartos-no-bela-vista-palhoca-1478492.html</t>
        </is>
      </c>
    </row>
    <row r="67">
      <c r="A67" s="16" t="inlineStr">
        <is>
          <t>venda_casa</t>
        </is>
      </c>
      <c r="B67" s="16" t="inlineStr">
        <is>
          <t>Casa</t>
        </is>
      </c>
      <c r="C67" s="16" t="inlineStr">
        <is>
          <t>4</t>
        </is>
      </c>
      <c r="D67" s="17" t="n">
        <v>0</v>
      </c>
      <c r="E67" s="18" t="n">
        <v>1600000</v>
      </c>
      <c r="F67" s="16" t="inlineStr"/>
      <c r="G67" s="16" t="inlineStr">
        <is>
          <t>Auxiliadora Predial - Florianópolis Pedra Branca</t>
        </is>
      </c>
      <c r="H67" s="16" t="inlineStr">
        <is>
          <t>https://www.imoveis-sc.com.br/palhoca/comprar/casa/bela-vista/casa-a-venda-com-4-quartos-no-bela-vista-palhoca-1415054.html</t>
        </is>
      </c>
    </row>
    <row r="68">
      <c r="A68" s="16" t="inlineStr">
        <is>
          <t>venda_casa</t>
        </is>
      </c>
      <c r="B68" s="16" t="inlineStr">
        <is>
          <t>Casa</t>
        </is>
      </c>
      <c r="C68" s="16" t="inlineStr">
        <is>
          <t>2</t>
        </is>
      </c>
      <c r="D68" s="17" t="n">
        <v>0</v>
      </c>
      <c r="E68" s="18" t="n">
        <v>600000</v>
      </c>
      <c r="F68" s="16" t="inlineStr"/>
      <c r="G68" s="16" t="inlineStr">
        <is>
          <t>Auxiliadora Predial - Pinheira</t>
        </is>
      </c>
      <c r="H68" s="16" t="inlineStr">
        <is>
          <t>https://www.imoveis-sc.com.br/palhoca/comprar/casa/bela-vista/casa-a-venda-com-2-quartos-no-bela-vista-palhoca-1483811.html</t>
        </is>
      </c>
    </row>
    <row r="69">
      <c r="A69" s="16" t="inlineStr">
        <is>
          <t>venda_casa</t>
        </is>
      </c>
      <c r="B69" s="16" t="inlineStr">
        <is>
          <t>Casa</t>
        </is>
      </c>
      <c r="C69" s="16" t="inlineStr">
        <is>
          <t>3</t>
        </is>
      </c>
      <c r="D69" s="17" t="n">
        <v>0</v>
      </c>
      <c r="E69" s="18" t="n">
        <v>630000</v>
      </c>
      <c r="F69" s="16" t="inlineStr"/>
      <c r="G69" s="16" t="inlineStr">
        <is>
          <t>Auxiliadora Predial - Florianópolis Pedra Branca</t>
        </is>
      </c>
      <c r="H69" s="16" t="inlineStr">
        <is>
          <t>https://www.imoveis-sc.com.br/palhoca/comprar/casa/bela-vista/casa-a-venda-com-3-quartos-no-bela-vista-palhoca-1458808.html</t>
        </is>
      </c>
    </row>
    <row r="70">
      <c r="A70" s="16" t="inlineStr">
        <is>
          <t>venda_casa</t>
        </is>
      </c>
      <c r="B70" s="16" t="inlineStr">
        <is>
          <t>Casa</t>
        </is>
      </c>
      <c r="C70" s="16" t="inlineStr">
        <is>
          <t>3</t>
        </is>
      </c>
      <c r="D70" s="17" t="n">
        <v>0</v>
      </c>
      <c r="E70" s="18" t="n">
        <v>590000</v>
      </c>
      <c r="F70" s="16" t="inlineStr"/>
      <c r="G70" s="16" t="inlineStr">
        <is>
          <t>Auxiliadora Predial - Florianópolis Pedra Branca</t>
        </is>
      </c>
      <c r="H70" s="16" t="inlineStr">
        <is>
          <t>https://www.imoveis-sc.com.br/palhoca/comprar/casa/bela-vista/casa-a-venda-com-3-quartos-no-bela-vista-palhoca-1389717.html</t>
        </is>
      </c>
    </row>
    <row r="71">
      <c r="A71" s="16" t="inlineStr">
        <is>
          <t>venda_casa</t>
        </is>
      </c>
      <c r="B71" s="16" t="inlineStr">
        <is>
          <t>Casa</t>
        </is>
      </c>
      <c r="C71" s="16" t="inlineStr">
        <is>
          <t>2</t>
        </is>
      </c>
      <c r="D71" s="17" t="n">
        <v>0</v>
      </c>
      <c r="E71" s="18" t="n">
        <v>529000</v>
      </c>
      <c r="F71" s="16" t="inlineStr"/>
      <c r="G71" s="16" t="inlineStr">
        <is>
          <t>Auxiliadora Predial - Florianópolis - Sul da Ilha</t>
        </is>
      </c>
      <c r="H71" s="16" t="inlineStr">
        <is>
          <t>https://www.imoveis-sc.com.br/palhoca/comprar/casa/bela-vista/casa-a-venda-com-2-quartos-no-bela-vista-palhoca-1327360.html</t>
        </is>
      </c>
    </row>
    <row r="72">
      <c r="A72" s="16" t="inlineStr">
        <is>
          <t>venda_casa</t>
        </is>
      </c>
      <c r="B72" s="16" t="inlineStr">
        <is>
          <t>Casa</t>
        </is>
      </c>
      <c r="C72" s="16" t="inlineStr">
        <is>
          <t>2</t>
        </is>
      </c>
      <c r="D72" s="17" t="n">
        <v>0</v>
      </c>
      <c r="E72" s="18" t="n">
        <v>500000</v>
      </c>
      <c r="F72" s="16" t="inlineStr"/>
      <c r="G72" s="16" t="inlineStr">
        <is>
          <t>Auxiliadora Predial - Florianópolis Pedra Branca</t>
        </is>
      </c>
      <c r="H72" s="16" t="inlineStr">
        <is>
          <t>https://www.imoveis-sc.com.br/palhoca/comprar/casa/bela-vista/casa-a-venda-com-2-quartos-no-bela-vista-palhoca-2349432.html</t>
        </is>
      </c>
    </row>
    <row r="73">
      <c r="A73" s="16" t="inlineStr">
        <is>
          <t>venda_casa</t>
        </is>
      </c>
      <c r="B73" s="16" t="inlineStr">
        <is>
          <t>Casa</t>
        </is>
      </c>
      <c r="C73" s="16" t="inlineStr">
        <is>
          <t>2</t>
        </is>
      </c>
      <c r="D73" s="17" t="n">
        <v>0</v>
      </c>
      <c r="E73" s="18" t="n">
        <v>395000</v>
      </c>
      <c r="F73" s="16" t="inlineStr"/>
      <c r="G73" s="16" t="inlineStr">
        <is>
          <t>Auxiliadora Predial - Florianópolis Pedra Branca</t>
        </is>
      </c>
      <c r="H73" s="16" t="inlineStr">
        <is>
          <t>https://www.imoveis-sc.com.br/palhoca/comprar/casa/bela-vista/casa-a-venda-com-2-quartos-no-bela-vista-palhoca-1469818.html</t>
        </is>
      </c>
    </row>
    <row r="74">
      <c r="A74" s="16" t="inlineStr">
        <is>
          <t>venda_casa</t>
        </is>
      </c>
      <c r="B74" s="16" t="inlineStr">
        <is>
          <t>Casa</t>
        </is>
      </c>
      <c r="C74" s="16" t="inlineStr">
        <is>
          <t>2</t>
        </is>
      </c>
      <c r="D74" s="17" t="n">
        <v>0</v>
      </c>
      <c r="E74" s="18" t="n">
        <v>460000</v>
      </c>
      <c r="F74" s="16" t="inlineStr"/>
      <c r="G74" s="16" t="inlineStr">
        <is>
          <t>Qualité Imóveis Exclusivos</t>
        </is>
      </c>
      <c r="H74" s="16" t="inlineStr">
        <is>
          <t>https://www.imoveis-sc.com.br/palhoca/comprar/casa/bela-vista/casa-a-venda-com-2-quartos-no-bela-vista-palhoca-3749916.html</t>
        </is>
      </c>
    </row>
    <row r="75">
      <c r="A75" s="16" t="inlineStr">
        <is>
          <t>venda_casa</t>
        </is>
      </c>
      <c r="B75" s="16" t="inlineStr">
        <is>
          <t>Casa</t>
        </is>
      </c>
      <c r="C75" s="16" t="inlineStr">
        <is>
          <t>2</t>
        </is>
      </c>
      <c r="D75" s="17" t="n">
        <v>0</v>
      </c>
      <c r="E75" s="18" t="n">
        <v>460000</v>
      </c>
      <c r="F75" s="16" t="inlineStr"/>
      <c r="G75" s="16" t="inlineStr">
        <is>
          <t>Auxiliadora Predial - Florianópolis - Lagoa da Conceição</t>
        </is>
      </c>
      <c r="H75" s="16" t="inlineStr">
        <is>
          <t>https://www.imoveis-sc.com.br/palhoca/comprar/casa/bela-vista/casa-a-venda-com-2-quartos-no-bela-vista-palhoca-1453815.html</t>
        </is>
      </c>
    </row>
    <row r="76">
      <c r="A76" s="16" t="inlineStr">
        <is>
          <t>venda_casa</t>
        </is>
      </c>
      <c r="B76" s="16" t="inlineStr">
        <is>
          <t>Casa</t>
        </is>
      </c>
      <c r="C76" s="16" t="inlineStr">
        <is>
          <t>2</t>
        </is>
      </c>
      <c r="D76" s="17" t="n">
        <v>0</v>
      </c>
      <c r="E76" s="18" t="n">
        <v>370000</v>
      </c>
      <c r="F76" s="16" t="inlineStr"/>
      <c r="G76" s="16" t="inlineStr">
        <is>
          <t>Auxiliadora Predial - Florianópolis Pedra Branca</t>
        </is>
      </c>
      <c r="H76" s="16" t="inlineStr">
        <is>
          <t>https://www.imoveis-sc.com.br/palhoca/comprar/casa/bela-vista/casa-a-venda-com-2-quartos-no-bela-vista-palhoca-1480753.html</t>
        </is>
      </c>
    </row>
    <row r="77">
      <c r="A77" s="16" t="inlineStr">
        <is>
          <t>venda_casa</t>
        </is>
      </c>
      <c r="B77" s="16" t="inlineStr">
        <is>
          <t>Casa</t>
        </is>
      </c>
      <c r="C77" s="16" t="inlineStr">
        <is>
          <t>3</t>
        </is>
      </c>
      <c r="D77" s="17" t="n">
        <v>0</v>
      </c>
      <c r="E77" s="18" t="n">
        <v>560000</v>
      </c>
      <c r="F77" s="16" t="inlineStr"/>
      <c r="G77" s="16" t="inlineStr">
        <is>
          <t>Auxiliadora Predial - Florianópolis - Lagoa da Conceição</t>
        </is>
      </c>
      <c r="H77" s="16" t="inlineStr">
        <is>
          <t>https://www.imoveis-sc.com.br/palhoca/comprar/casa/bela-vista/casa-a-venda-com-3-quartos-no-bela-vista-palhoca-1453816.html</t>
        </is>
      </c>
    </row>
    <row r="78">
      <c r="A78" s="16" t="inlineStr">
        <is>
          <t>venda_casa</t>
        </is>
      </c>
      <c r="B78" s="16" t="inlineStr">
        <is>
          <t>Casa</t>
        </is>
      </c>
      <c r="C78" s="16" t="inlineStr">
        <is>
          <t>3</t>
        </is>
      </c>
      <c r="D78" s="17" t="n">
        <v>0</v>
      </c>
      <c r="E78" s="18" t="n">
        <v>660000</v>
      </c>
      <c r="F78" s="16" t="inlineStr"/>
      <c r="G78" s="16" t="inlineStr">
        <is>
          <t>Auxiliadora Predial - Florianópolis - Lagoa da Conceição</t>
        </is>
      </c>
      <c r="H78" s="16" t="inlineStr">
        <is>
          <t>https://www.imoveis-sc.com.br/palhoca/comprar/casa/bela-vista/casa-a-venda-com-3-quartos-no-bela-vista-palhoca-1414401.html</t>
        </is>
      </c>
    </row>
    <row r="79">
      <c r="A79" s="16" t="inlineStr">
        <is>
          <t>venda_casa</t>
        </is>
      </c>
      <c r="B79" s="16" t="inlineStr">
        <is>
          <t>Casa</t>
        </is>
      </c>
      <c r="C79" s="16" t="inlineStr">
        <is>
          <t>2</t>
        </is>
      </c>
      <c r="D79" s="17" t="n">
        <v>0</v>
      </c>
      <c r="E79" s="18" t="n">
        <v>474000</v>
      </c>
      <c r="F79" s="16" t="inlineStr"/>
      <c r="G79" s="16" t="inlineStr">
        <is>
          <t>Auxiliadora Predial - Florianópolis - Lagoa da Conceição</t>
        </is>
      </c>
      <c r="H79" s="16" t="inlineStr">
        <is>
          <t>https://www.imoveis-sc.com.br/palhoca/comprar/casa/bela-vista/casa-a-venda-com-2-quartos-no-bela-vista-palhoca-1404301.html</t>
        </is>
      </c>
    </row>
    <row r="80">
      <c r="A80" s="16" t="inlineStr">
        <is>
          <t>venda_casa</t>
        </is>
      </c>
      <c r="B80" s="16" t="inlineStr">
        <is>
          <t>Casa</t>
        </is>
      </c>
      <c r="C80" s="16" t="inlineStr">
        <is>
          <t>1</t>
        </is>
      </c>
      <c r="D80" s="17" t="n">
        <v>0</v>
      </c>
      <c r="E80" s="18" t="n">
        <v>350000</v>
      </c>
      <c r="F80" s="16" t="inlineStr"/>
      <c r="G80" s="16" t="inlineStr">
        <is>
          <t>Auxiliadora Predial - Florianópolis Pedra Branca</t>
        </is>
      </c>
      <c r="H80" s="16" t="inlineStr">
        <is>
          <t>https://www.imoveis-sc.com.br/palhoca/comprar/casa/bela-vista/casa-a-venda-com-1-quarto-no-bela-vista-palhoca-1457803.html</t>
        </is>
      </c>
    </row>
    <row r="81">
      <c r="A81" s="16" t="inlineStr">
        <is>
          <t>venda_casa</t>
        </is>
      </c>
      <c r="B81" s="16" t="inlineStr">
        <is>
          <t>Casa</t>
        </is>
      </c>
      <c r="C81" s="16" t="inlineStr">
        <is>
          <t>3</t>
        </is>
      </c>
      <c r="D81" s="17" t="n">
        <v>0</v>
      </c>
      <c r="E81" s="18" t="n">
        <v>820000</v>
      </c>
      <c r="F81" s="16" t="inlineStr"/>
      <c r="G81" s="16" t="inlineStr">
        <is>
          <t>Auxiliadora Predial - Florianópolis - Lagoa da Conceição</t>
        </is>
      </c>
      <c r="H81" s="16" t="inlineStr">
        <is>
          <t>https://www.imoveis-sc.com.br/palhoca/comprar/casa/bela-vista/casa-a-venda-com-3-quartos-no-bela-vista-palhoca-1350155.html</t>
        </is>
      </c>
    </row>
    <row r="82">
      <c r="A82" s="16" t="inlineStr">
        <is>
          <t>venda_casa</t>
        </is>
      </c>
      <c r="B82" s="16" t="inlineStr">
        <is>
          <t>Casa</t>
        </is>
      </c>
      <c r="C82" s="16" t="inlineStr">
        <is>
          <t>2</t>
        </is>
      </c>
      <c r="D82" s="17" t="n">
        <v>0</v>
      </c>
      <c r="E82" s="18" t="n">
        <v>369000</v>
      </c>
      <c r="F82" s="16" t="inlineStr"/>
      <c r="G82" s="16" t="inlineStr">
        <is>
          <t>Auxiliadora Predial - Florianópolis Pedra Branca</t>
        </is>
      </c>
      <c r="H82" s="16" t="inlineStr">
        <is>
          <t>https://www.imoveis-sc.com.br/palhoca/comprar/casa/bela-vista/casa-a-venda-com-2-quartos-no-bela-vista-palhoca-1479339.html</t>
        </is>
      </c>
    </row>
    <row r="83">
      <c r="A83" s="16" t="inlineStr">
        <is>
          <t>venda_casa</t>
        </is>
      </c>
      <c r="B83" s="16" t="inlineStr">
        <is>
          <t>Casa</t>
        </is>
      </c>
      <c r="C83" s="16" t="inlineStr">
        <is>
          <t>2</t>
        </is>
      </c>
      <c r="D83" s="17" t="n">
        <v>0</v>
      </c>
      <c r="E83" s="18" t="n">
        <v>475000</v>
      </c>
      <c r="F83" s="16" t="inlineStr"/>
      <c r="G83" s="16" t="inlineStr">
        <is>
          <t>Adriano Gregory Imóveis</t>
        </is>
      </c>
      <c r="H83" s="16" t="inlineStr">
        <is>
          <t>https://www.imoveis-sc.com.br/palhoca/comprar/casa/bela-vista/casa-a-venda-com-2-quartos-46m2-no-bela-vista-palhoca-8177148.html</t>
        </is>
      </c>
    </row>
  </sheetData>
  <autoFilter ref="A4:H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Só entra aqui o lote ausente em duas rodadas consecutivas. 13 registro(s).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03/10/2026</t>
        </is>
      </c>
      <c r="B5" s="16" t="inlineStr">
        <is>
          <t>160000012143-0</t>
        </is>
      </c>
      <c r="C5" s="16" t="inlineStr">
        <is>
          <t>FLORIANOPOLIS</t>
        </is>
      </c>
      <c r="D5" s="16" t="inlineStr">
        <is>
          <t>JOAO PAULO</t>
        </is>
      </c>
      <c r="E5" s="16" t="inlineStr">
        <is>
          <t>RUA VERGILIO PONCIANO,N. 133 LT 15, JOAO PAULO - CEP: 88030-680, FLORIANOPOLIS - SANTA CATARINA</t>
        </is>
      </c>
      <c r="F5" s="16" t="inlineStr">
        <is>
          <t>Casa</t>
        </is>
      </c>
      <c r="G5" s="16" t="inlineStr">
        <is>
          <t>274,96m2</t>
        </is>
      </c>
      <c r="H5" s="16" t="inlineStr">
        <is>
          <t>3.120.000,00</t>
        </is>
      </c>
      <c r="I5" s="16" t="inlineStr">
        <is>
          <t>1.872.000,00</t>
        </is>
      </c>
      <c r="J5" s="16" t="inlineStr">
        <is>
          <t>Leilão SFI</t>
        </is>
      </c>
      <c r="K5" s="16" t="inlineStr">
        <is>
          <t>Ocupado</t>
        </is>
      </c>
      <c r="L5" s="16" t="inlineStr">
        <is>
          <t>05/10/2026 / 09/10/2026</t>
        </is>
      </c>
      <c r="M5" s="16" t="inlineStr">
        <is>
          <t>0046/0226 - CPA/RE</t>
        </is>
      </c>
      <c r="N5" s="16" t="inlineStr">
        <is>
          <t>saiu da lista do portal; causa nao declarada pela fonte</t>
        </is>
      </c>
    </row>
    <row r="6">
      <c r="A6" s="16" t="inlineStr">
        <is>
          <t>03/10/2026</t>
        </is>
      </c>
      <c r="B6" s="16" t="inlineStr">
        <is>
          <t>844440736266-6</t>
        </is>
      </c>
      <c r="C6" s="16" t="inlineStr">
        <is>
          <t>SAO_JOSE</t>
        </is>
      </c>
      <c r="D6" s="16" t="inlineStr">
        <is>
          <t>SERRARIA</t>
        </is>
      </c>
      <c r="E6" s="16" t="inlineStr">
        <is>
          <t>RUA WENCESLAU EVARISTO SILVA,N. 31 APTO. 105 BL EMILIA, SERRARIA - CEP: 88115-200, SAO JOSE - SANTA CATARINA</t>
        </is>
      </c>
      <c r="F6" s="16" t="inlineStr">
        <is>
          <t>Apartamento</t>
        </is>
      </c>
      <c r="G6" s="16" t="inlineStr">
        <is>
          <t>46,52m2</t>
        </is>
      </c>
      <c r="H6" s="16" t="inlineStr">
        <is>
          <t>240.000,00</t>
        </is>
      </c>
      <c r="I6" s="16" t="inlineStr">
        <is>
          <t>144.000,00</t>
        </is>
      </c>
      <c r="J6" s="16" t="inlineStr">
        <is>
          <t>Leilão SFI</t>
        </is>
      </c>
      <c r="K6" s="16" t="inlineStr">
        <is>
          <t>Ocupado</t>
        </is>
      </c>
      <c r="L6" s="16" t="inlineStr">
        <is>
          <t>28/09/2026 / 02/10/2026</t>
        </is>
      </c>
      <c r="M6" s="16" t="inlineStr">
        <is>
          <t>0044/0226 - CPA/RE</t>
        </is>
      </c>
      <c r="N6" s="16" t="inlineStr">
        <is>
          <t>saiu da lista do portal; causa nao declarada pela fonte</t>
        </is>
      </c>
    </row>
    <row r="7">
      <c r="A7" s="16" t="inlineStr">
        <is>
          <t>03/10/2026</t>
        </is>
      </c>
      <c r="B7" s="16" t="inlineStr">
        <is>
          <t>000001018127-9</t>
        </is>
      </c>
      <c r="C7" s="16" t="inlineStr">
        <is>
          <t>SAO_JOSE</t>
        </is>
      </c>
      <c r="D7" s="16" t="inlineStr">
        <is>
          <t>KOBRASOL</t>
        </is>
      </c>
      <c r="E7" s="16" t="inlineStr">
        <is>
          <t>AVENIDA LEDIO JOAO MARTINS,N. 554 SL 106 ED DOM ALEXANDRE, KOBRASOL - CEP: 88101-100, SAO JOSE - SANTA CATARINA</t>
        </is>
      </c>
      <c r="F7" s="16" t="inlineStr">
        <is>
          <t>Sala</t>
        </is>
      </c>
      <c r="G7" s="16" t="inlineStr">
        <is>
          <t>33,30m2</t>
        </is>
      </c>
      <c r="H7" s="16" t="inlineStr">
        <is>
          <t>250.000,00</t>
        </is>
      </c>
      <c r="I7" s="16" t="inlineStr">
        <is>
          <t>395.960,11</t>
        </is>
      </c>
      <c r="J7" s="16" t="inlineStr">
        <is>
          <t>Leilão SFI</t>
        </is>
      </c>
      <c r="K7" s="16" t="inlineStr">
        <is>
          <t>Ocupado</t>
        </is>
      </c>
      <c r="L7" s="16" t="inlineStr">
        <is>
          <t>28/09/2026 / 02/10/2026</t>
        </is>
      </c>
      <c r="M7" s="16" t="inlineStr">
        <is>
          <t>0044/0226 - CPA/RE</t>
        </is>
      </c>
      <c r="N7" s="16" t="inlineStr">
        <is>
          <t>saiu da lista do portal; causa nao declarada pela fonte</t>
        </is>
      </c>
    </row>
    <row r="8">
      <c r="A8" s="16" t="inlineStr">
        <is>
          <t>03/10/2026</t>
        </is>
      </c>
      <c r="B8" s="16" t="inlineStr">
        <is>
          <t>878771586575-0</t>
        </is>
      </c>
      <c r="C8" s="16" t="inlineStr">
        <is>
          <t>PALHOCA</t>
        </is>
      </c>
      <c r="D8" s="16" t="inlineStr">
        <is>
          <t>LOT PQ VALE VERDE</t>
        </is>
      </c>
      <c r="E8" s="16" t="inlineStr">
        <is>
          <t>AVENIDA PAULO ROBERTO VIDAL,N. 2050 APTO. 102 1 PAV BL 12 LT 1 A 18 QD B1 VG 233, LOT PQ VALE VERDE - CEP: 88132-599, PALHOCA - SANTA CATARINA</t>
        </is>
      </c>
      <c r="F8" s="16" t="inlineStr">
        <is>
          <t>Apartamento</t>
        </is>
      </c>
      <c r="G8" s="16" t="inlineStr">
        <is>
          <t>43,80m2</t>
        </is>
      </c>
      <c r="H8" s="16" t="inlineStr">
        <is>
          <t>223.000,00</t>
        </is>
      </c>
      <c r="I8" s="16" t="inlineStr">
        <is>
          <t>133.800,00</t>
        </is>
      </c>
      <c r="J8" s="16" t="inlineStr">
        <is>
          <t>Leilão SFI</t>
        </is>
      </c>
      <c r="K8" s="16" t="inlineStr">
        <is>
          <t>Ocupado</t>
        </is>
      </c>
      <c r="L8" s="16" t="inlineStr">
        <is>
          <t>28/09/2026 / 02/10/2026</t>
        </is>
      </c>
      <c r="M8" s="16" t="inlineStr">
        <is>
          <t>0044/0226 - CPA/RE</t>
        </is>
      </c>
      <c r="N8" s="16" t="inlineStr">
        <is>
          <t>saiu da lista do portal; causa nao declarada pela fonte</t>
        </is>
      </c>
    </row>
    <row r="9">
      <c r="A9" s="16" t="inlineStr">
        <is>
          <t>03/10/2026</t>
        </is>
      </c>
      <c r="B9" s="16" t="inlineStr">
        <is>
          <t>144441764402-0</t>
        </is>
      </c>
      <c r="C9" s="16" t="inlineStr">
        <is>
          <t>PALHOCA</t>
        </is>
      </c>
      <c r="D9" s="16" t="inlineStr">
        <is>
          <t>CENTRO</t>
        </is>
      </c>
      <c r="E9" s="16" t="inlineStr">
        <is>
          <t>RUA EMELINE MATILDES CRISEMANN SCHEIDT,N. 257 APTO. 704 9 PAV, 13, CENTRO - CEP: 88130-290, PALHOCA - SANTA CATARINA</t>
        </is>
      </c>
      <c r="F9" s="16" t="inlineStr">
        <is>
          <t>Apartamento</t>
        </is>
      </c>
      <c r="G9" s="16" t="inlineStr">
        <is>
          <t>72,45m2</t>
        </is>
      </c>
      <c r="H9" s="16" t="inlineStr">
        <is>
          <t>580.000,00</t>
        </is>
      </c>
      <c r="I9" s="16" t="inlineStr">
        <is>
          <t>477.998,55</t>
        </is>
      </c>
      <c r="J9" s="16" t="inlineStr">
        <is>
          <t>Leilão SFI</t>
        </is>
      </c>
      <c r="K9" s="16" t="inlineStr">
        <is>
          <t>Ocupado</t>
        </is>
      </c>
      <c r="L9" s="16" t="inlineStr">
        <is>
          <t>28/09/2026 / 02/10/2026</t>
        </is>
      </c>
      <c r="M9" s="16" t="inlineStr">
        <is>
          <t>0044/0226 - CPA/RE</t>
        </is>
      </c>
      <c r="N9" s="16" t="inlineStr">
        <is>
          <t>saiu da lista do portal; causa nao declarada pela fonte</t>
        </is>
      </c>
    </row>
    <row r="10">
      <c r="A10" s="16" t="inlineStr">
        <is>
          <t>02/10/2026</t>
        </is>
      </c>
      <c r="B10" s="16" t="inlineStr">
        <is>
          <t>000001028634-4</t>
        </is>
      </c>
      <c r="C10" s="16" t="inlineStr">
        <is>
          <t>FLORIANOPOLIS</t>
        </is>
      </c>
      <c r="D10" s="16" t="inlineStr">
        <is>
          <t>ESTREITO</t>
        </is>
      </c>
      <c r="E10" s="16" t="inlineStr">
        <is>
          <t>AVENIDA GOVERNADOR IVO SILVEIRA,N. 2487, ESTREITO - CEP: 88085-001, FLORIANOPOLIS - SANTA CATARINA</t>
        </is>
      </c>
      <c r="F10" s="16" t="inlineStr">
        <is>
          <t>Comercial</t>
        </is>
      </c>
      <c r="G10" s="16" t="inlineStr">
        <is>
          <t>577,10m2</t>
        </is>
      </c>
      <c r="H10" s="16" t="inlineStr">
        <is>
          <t>3.035.000,00</t>
        </is>
      </c>
      <c r="I10" s="16" t="inlineStr">
        <is>
          <t>1.934.248,90</t>
        </is>
      </c>
      <c r="J10" s="16" t="inlineStr">
        <is>
          <t>Venda Online</t>
        </is>
      </c>
      <c r="K10" s="16" t="inlineStr">
        <is>
          <t>Ocupado</t>
        </is>
      </c>
      <c r="L10" s="16" t="inlineStr"/>
      <c r="M10" s="16" t="inlineStr"/>
      <c r="N10" s="16" t="inlineStr">
        <is>
          <t>RETRATADO: reapareceu na lista em 03/10/2026 — a ausencia de 02/10 era indisponibilidade da fonte, nao saida. Nao contar como saida.</t>
        </is>
      </c>
    </row>
    <row r="11">
      <c r="A11" s="16" t="inlineStr">
        <is>
          <t>30/09/2026</t>
        </is>
      </c>
      <c r="B11" s="16" t="inlineStr">
        <is>
          <t>844442822457-2</t>
        </is>
      </c>
      <c r="C11" s="16" t="inlineStr">
        <is>
          <t>SAO_JOSE</t>
        </is>
      </c>
      <c r="D11" s="16" t="inlineStr">
        <is>
          <t>REAL PARQUE</t>
        </is>
      </c>
      <c r="E11" s="16" t="inlineStr">
        <is>
          <t>RUA ALMERINDA FRANCISCO DOS SANTOS,N. 19 APTO. 32 BL 5 VG 02 DEPÓSITO 02, REAL PARQUE - CEP: 88113-487, SAO JOSE - SANTA CATARINA</t>
        </is>
      </c>
      <c r="F11" s="16" t="inlineStr">
        <is>
          <t>Apartamento</t>
        </is>
      </c>
      <c r="G11" s="16" t="inlineStr">
        <is>
          <t>57,22m2</t>
        </is>
      </c>
      <c r="H11" s="16" t="inlineStr">
        <is>
          <t>256.500,00</t>
        </is>
      </c>
      <c r="I11" s="16" t="inlineStr">
        <is>
          <t>157.056,10</t>
        </is>
      </c>
      <c r="J11" s="16" t="inlineStr">
        <is>
          <t>Licitação Aberta</t>
        </is>
      </c>
      <c r="K11" s="16" t="inlineStr">
        <is>
          <t>Ocupado</t>
        </is>
      </c>
      <c r="L11" s="16" t="inlineStr">
        <is>
          <t>29/09/2026</t>
        </is>
      </c>
      <c r="M11" s="16" t="inlineStr">
        <is>
          <t>0031/0326 - CPVE/RE</t>
        </is>
      </c>
      <c r="N11" s="16" t="inlineStr">
        <is>
          <t>saiu da lista do portal; causa nao declarada pela fonte</t>
        </is>
      </c>
    </row>
    <row r="12">
      <c r="A12" s="16" t="inlineStr">
        <is>
          <t>29/09/2026</t>
        </is>
      </c>
      <c r="B12" s="16" t="inlineStr">
        <is>
          <t>878770360836-7</t>
        </is>
      </c>
      <c r="C12" s="16" t="inlineStr">
        <is>
          <t>PALHOCA</t>
        </is>
      </c>
      <c r="D12" s="16" t="inlineStr">
        <is>
          <t>BELA VISTA</t>
        </is>
      </c>
      <c r="E12" s="16" t="inlineStr">
        <is>
          <t>RUA SEBASTIAO ALZEMIRO DOS SANTOS,N. 347 APTO. 104 BL 11, BELA VISTA - CEP: 88137-640, PALHOCA - SANTA CATARINA</t>
        </is>
      </c>
      <c r="F12" s="16" t="inlineStr">
        <is>
          <t>Apartamento</t>
        </is>
      </c>
      <c r="G12" s="16" t="inlineStr">
        <is>
          <t>45,61m2</t>
        </is>
      </c>
      <c r="H12" s="16" t="inlineStr">
        <is>
          <t>240.000,00</t>
        </is>
      </c>
      <c r="I12" s="16" t="inlineStr">
        <is>
          <t>144.000,00</t>
        </is>
      </c>
      <c r="J12" s="16" t="inlineStr">
        <is>
          <t>Leilão SFI</t>
        </is>
      </c>
      <c r="K12" s="16" t="inlineStr">
        <is>
          <t>Ocupado</t>
        </is>
      </c>
      <c r="L12" s="16" t="inlineStr">
        <is>
          <t>08/10/2026 / 15/10/2026</t>
        </is>
      </c>
      <c r="M12" s="16" t="inlineStr">
        <is>
          <t>0047/0226 - CPA/RE</t>
        </is>
      </c>
      <c r="N12" s="16" t="inlineStr">
        <is>
          <t>saiu da lista do portal; causa nao declarada pela fonte</t>
        </is>
      </c>
    </row>
    <row r="13">
      <c r="A13" s="16" t="inlineStr">
        <is>
          <t>25/09/2026</t>
        </is>
      </c>
      <c r="B13" s="16" t="inlineStr">
        <is>
          <t>878771288948-9</t>
        </is>
      </c>
      <c r="C13" s="16" t="inlineStr">
        <is>
          <t>SAO_JOSE</t>
        </is>
      </c>
      <c r="D13" s="16" t="inlineStr">
        <is>
          <t>FORQUILHAS LESTE</t>
        </is>
      </c>
      <c r="E13" s="16" t="inlineStr">
        <is>
          <t>RUA VIDAL VICENTE ANDRADE,N. 1171 APTO. 104 BLOCO 04 VAGA 189, FORQUILHAS LESTE - CEP: 88107-001, SAO JOSE - SANTA CATARINA</t>
        </is>
      </c>
      <c r="F13" s="16" t="inlineStr">
        <is>
          <t>Apartamento</t>
        </is>
      </c>
      <c r="G13" s="16" t="inlineStr">
        <is>
          <t>40,28m2</t>
        </is>
      </c>
      <c r="H13" s="16" t="inlineStr">
        <is>
          <t>260.000,00</t>
        </is>
      </c>
      <c r="I13" s="16" t="inlineStr">
        <is>
          <t>156.000,00</t>
        </is>
      </c>
      <c r="J13" s="16" t="inlineStr">
        <is>
          <t>Leilão SFI</t>
        </is>
      </c>
      <c r="K13" s="16" t="inlineStr">
        <is>
          <t>Ocupado</t>
        </is>
      </c>
      <c r="L13" s="16" t="inlineStr">
        <is>
          <t>18/09/2026 / 24/09/2026</t>
        </is>
      </c>
      <c r="M13" s="16" t="inlineStr">
        <is>
          <t>0043/0226 - CPA/RE</t>
        </is>
      </c>
      <c r="N13" s="16" t="inlineStr">
        <is>
          <t>saiu da lista do portal; causa nao declarada pela fonte</t>
        </is>
      </c>
    </row>
    <row r="14">
      <c r="A14" s="16" t="inlineStr">
        <is>
          <t>25/09/2026</t>
        </is>
      </c>
      <c r="B14" s="16" t="inlineStr">
        <is>
          <t>855553476258-4</t>
        </is>
      </c>
      <c r="C14" s="16" t="inlineStr">
        <is>
          <t>SAO_JOSE</t>
        </is>
      </c>
      <c r="D14" s="16" t="inlineStr">
        <is>
          <t>REAL PARQUE</t>
        </is>
      </c>
      <c r="E14" s="16" t="inlineStr">
        <is>
          <t>RUA ALMERINDA FRANCISCO DOS SANTOS,N. 176 APTO. 405 BLOCO B, REAL PARQUE - CEP: 88113-487, SAO JOSE - SANTA CATARINA</t>
        </is>
      </c>
      <c r="F14" s="16" t="inlineStr">
        <is>
          <t>Apartamento</t>
        </is>
      </c>
      <c r="G14" s="16" t="inlineStr">
        <is>
          <t>60,28m2</t>
        </is>
      </c>
      <c r="H14" s="16" t="inlineStr">
        <is>
          <t>296.000,00</t>
        </is>
      </c>
      <c r="I14" s="16" t="inlineStr">
        <is>
          <t>177.600,00</t>
        </is>
      </c>
      <c r="J14" s="16" t="inlineStr">
        <is>
          <t>Leilão SFI</t>
        </is>
      </c>
      <c r="K14" s="16" t="inlineStr">
        <is>
          <t>Ocupado</t>
        </is>
      </c>
      <c r="L14" s="16" t="inlineStr">
        <is>
          <t>18/09/2026 / 24/09/2026</t>
        </is>
      </c>
      <c r="M14" s="16" t="inlineStr">
        <is>
          <t>0043/0226 - CPA/RE</t>
        </is>
      </c>
      <c r="N14" s="16" t="inlineStr">
        <is>
          <t>saiu da lista do portal; causa nao declarada pela fonte</t>
        </is>
      </c>
    </row>
    <row r="15">
      <c r="A15" s="16" t="inlineStr">
        <is>
          <t>25/09/2026</t>
        </is>
      </c>
      <c r="B15" s="16" t="inlineStr">
        <is>
          <t>144442332474-0</t>
        </is>
      </c>
      <c r="C15" s="16" t="inlineStr">
        <is>
          <t>SAO_JOSE</t>
        </is>
      </c>
      <c r="D15" s="16" t="inlineStr">
        <is>
          <t>POTECAS</t>
        </is>
      </c>
      <c r="E15" s="16" t="inlineStr">
        <is>
          <t>RUA HELMUTH FETT,N. 254 CASA 03, POTECAS - CEP: 88119-368, SAO JOSE - SANTA CATARINA</t>
        </is>
      </c>
      <c r="F15" s="16" t="inlineStr">
        <is>
          <t>Casa</t>
        </is>
      </c>
      <c r="G15" s="16" t="inlineStr">
        <is>
          <t>71,43m2</t>
        </is>
      </c>
      <c r="H15" s="16" t="inlineStr">
        <is>
          <t>360.000,00</t>
        </is>
      </c>
      <c r="I15" s="16" t="inlineStr">
        <is>
          <t>337.393,03</t>
        </is>
      </c>
      <c r="J15" s="16" t="inlineStr">
        <is>
          <t>Leilão SFI</t>
        </is>
      </c>
      <c r="K15" s="16" t="inlineStr">
        <is>
          <t>Ocupado</t>
        </is>
      </c>
      <c r="L15" s="16" t="inlineStr">
        <is>
          <t>18/09/2026 / 24/09/2026</t>
        </is>
      </c>
      <c r="M15" s="16" t="inlineStr">
        <is>
          <t>0043/0226 - CPA/RE</t>
        </is>
      </c>
      <c r="N15" s="16" t="inlineStr">
        <is>
          <t>saiu da lista do portal; causa nao declarada pela fonte</t>
        </is>
      </c>
    </row>
    <row r="16">
      <c r="A16" s="16" t="inlineStr">
        <is>
          <t>19/09/2026</t>
        </is>
      </c>
      <c r="B16" s="16" t="inlineStr">
        <is>
          <t>878771560417-5</t>
        </is>
      </c>
      <c r="C16" s="16" t="inlineStr">
        <is>
          <t>SAO_JOSE</t>
        </is>
      </c>
      <c r="D16" s="16" t="inlineStr">
        <is>
          <t>SERTAO DO MARUIM</t>
        </is>
      </c>
      <c r="E16" s="16" t="inlineStr">
        <is>
          <t>RUA CELSO JOSE KUERTEN,N. 18 APTO. 103 BL 02 TERREO, SERTAO DO MARUIM - CEP: 88122-135, SAO JOSE - SANTA CATARINA</t>
        </is>
      </c>
      <c r="F16" s="16" t="inlineStr">
        <is>
          <t>Apartamento</t>
        </is>
      </c>
      <c r="G16" s="16" t="inlineStr">
        <is>
          <t>45,89m2</t>
        </is>
      </c>
      <c r="H16" s="16" t="inlineStr">
        <is>
          <t>230.000,00</t>
        </is>
      </c>
      <c r="I16" s="16" t="inlineStr">
        <is>
          <t>152.002,30</t>
        </is>
      </c>
      <c r="J16" s="16" t="inlineStr">
        <is>
          <t>Leilão SFI</t>
        </is>
      </c>
      <c r="K16" s="16" t="inlineStr">
        <is>
          <t>Ocupado</t>
        </is>
      </c>
      <c r="L16" s="16" t="inlineStr">
        <is>
          <t>14/09/2026 / 18/09/2026</t>
        </is>
      </c>
      <c r="M16" s="16" t="inlineStr">
        <is>
          <t>0042/0226 - CPA/RE</t>
        </is>
      </c>
      <c r="N16" s="16" t="inlineStr">
        <is>
          <t>saiu da lista do portal; causa nao declarada pela fonte</t>
        </is>
      </c>
    </row>
    <row r="17">
      <c r="A17" s="16" t="inlineStr">
        <is>
          <t>19/09/2026</t>
        </is>
      </c>
      <c r="B17" s="16" t="inlineStr">
        <is>
          <t>855551517677-2</t>
        </is>
      </c>
      <c r="C17" s="16" t="inlineStr">
        <is>
          <t>SAO_JOSE</t>
        </is>
      </c>
      <c r="D17" s="16" t="inlineStr">
        <is>
          <t>ROCADO</t>
        </is>
      </c>
      <c r="E17" s="16" t="inlineStr">
        <is>
          <t>RUA R ATAULFO ALVES,N. 85 APTO. 102 TIPO D - 1º PAVIMENTO, VG 21, ROCADO - CEP: 88108-220, SAO JOSE - SANTA CATARINA</t>
        </is>
      </c>
      <c r="F17" s="16" t="inlineStr">
        <is>
          <t>Apartamento</t>
        </is>
      </c>
      <c r="G17" s="16" t="inlineStr">
        <is>
          <t>62,93m2</t>
        </is>
      </c>
      <c r="H17" s="16" t="inlineStr">
        <is>
          <t>465.000,00</t>
        </is>
      </c>
      <c r="I17" s="16" t="inlineStr">
        <is>
          <t>279.000,00</t>
        </is>
      </c>
      <c r="J17" s="16" t="inlineStr">
        <is>
          <t>Leilão SFI</t>
        </is>
      </c>
      <c r="K17" s="16" t="inlineStr">
        <is>
          <t>Ocupado</t>
        </is>
      </c>
      <c r="L17" s="16" t="inlineStr">
        <is>
          <t>14/09/2026 / 18/09/2026</t>
        </is>
      </c>
      <c r="M17" s="16" t="inlineStr">
        <is>
          <t>0042/0226 - CPA/RE</t>
        </is>
      </c>
      <c r="N17" s="16" t="inlineStr">
        <is>
          <t>saiu da lista do portal; causa nao declarada pela fonte</t>
        </is>
      </c>
    </row>
  </sheetData>
  <autoFilter ref="A4:N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2026-10-08T10:14:44Z</dcterms:created>
  <dcterms:modified xsi:type="dcterms:W3CDTF">2026-10-08T10:14:44Z</dcterms:modified>
</cp:coreProperties>
</file>